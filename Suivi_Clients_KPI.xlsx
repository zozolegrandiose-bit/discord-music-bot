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lients" sheetId="2" state="visible" r:id="rId2"/>
    <sheet name="Suivi &amp; Relances" sheetId="3" state="visible" r:id="rId3"/>
    <sheet name="Historique" sheetId="4" state="visible" r:id="rId4"/>
    <sheet name="Paramètres" sheetId="5" state="hidden" r:id="rId5"/>
  </sheets>
  <definedNames>
    <definedName name="lst_Statut">Paramètres!$A$4:$A$8</definedName>
    <definedName name="lst_Segment">Paramètres!$B$4:$B$7</definedName>
    <definedName name="lst_Priorite">Paramètres!$C$4:$C$6</definedName>
    <definedName name="lst_Commercial">Paramètres!$D$4:$D$8</definedName>
    <definedName name="lst_Canal">Paramètres!$E$4:$E$8</definedName>
    <definedName name="lst_Resultat">Paramètres!$F$4:$F$8</definedName>
    <definedName name="lst_Secteur">Paramètres!$G$4:$G$11</definedName>
    <definedName name="lst_Region">Paramètres!$H$4:$H$11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 €"/>
    <numFmt numFmtId="167" formatCode="0.0%"/>
    <numFmt numFmtId="168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0F2A43"/>
      <sz val="14"/>
    </font>
    <font>
      <name val="Calibri"/>
      <b val="1"/>
      <color rgb="00FFFFFF"/>
    </font>
    <font>
      <name val="Calibri"/>
      <b val="1"/>
      <color rgb="00FFFFFF"/>
      <sz val="18"/>
    </font>
    <font>
      <name val="Calibri"/>
      <i val="1"/>
      <color rgb="005B6472"/>
      <sz val="10"/>
    </font>
    <font>
      <name val="Calibri"/>
      <b val="1"/>
      <color rgb="00FFFFFF"/>
      <sz val="10"/>
    </font>
    <font>
      <name val="Calibri"/>
      <color rgb="005B6472"/>
      <sz val="9"/>
    </font>
    <font>
      <name val="Calibri"/>
      <b val="1"/>
      <color rgb="00FFFFFF"/>
      <sz val="22"/>
    </font>
    <font>
      <name val="Calibri"/>
      <i val="1"/>
      <color rgb="005B6472"/>
      <sz val="11"/>
    </font>
    <font>
      <name val="Calibri"/>
      <b val="1"/>
      <color rgb="002E9E5B"/>
      <sz val="26"/>
    </font>
    <font>
      <name val="Calibri"/>
      <i val="1"/>
      <color rgb="005B6472"/>
      <sz val="9"/>
    </font>
    <font>
      <name val="Calibri"/>
      <b val="1"/>
      <color rgb="004F9CD9"/>
      <sz val="26"/>
    </font>
    <font>
      <name val="Calibri"/>
      <b val="1"/>
      <color rgb="00E1A100"/>
      <sz val="26"/>
    </font>
    <font>
      <name val="Calibri"/>
      <b val="1"/>
      <color rgb="006C5CE7"/>
      <sz val="26"/>
    </font>
    <font>
      <name val="Calibri"/>
      <b val="1"/>
      <color rgb="00C0392B"/>
      <sz val="26"/>
    </font>
    <font>
      <name val="Calibri"/>
      <b val="1"/>
      <color rgb="001B3A5B"/>
      <sz val="26"/>
    </font>
    <font>
      <name val="Calibri"/>
      <b val="1"/>
      <color rgb="002F6FB0"/>
      <sz val="26"/>
    </font>
    <font>
      <name val="Calibri"/>
      <b val="1"/>
      <color rgb="0017A2A2"/>
      <sz val="26"/>
    </font>
    <font>
      <name val="Calibri"/>
      <b val="1"/>
      <color rgb="00E8873A"/>
      <sz val="26"/>
    </font>
    <font>
      <name val="Calibri"/>
      <b val="1"/>
      <color rgb="000F2A43"/>
      <sz val="12"/>
    </font>
  </fonts>
  <fills count="15">
    <fill>
      <patternFill/>
    </fill>
    <fill>
      <patternFill patternType="gray125"/>
    </fill>
    <fill>
      <patternFill patternType="solid">
        <fgColor rgb="002F6FB0"/>
      </patternFill>
    </fill>
    <fill>
      <patternFill patternType="solid">
        <fgColor rgb="000F2A43"/>
      </patternFill>
    </fill>
    <fill>
      <patternFill patternType="solid">
        <fgColor rgb="00EAF0F8"/>
      </patternFill>
    </fill>
    <fill>
      <patternFill patternType="solid">
        <fgColor rgb="00F5F7FB"/>
      </patternFill>
    </fill>
    <fill>
      <patternFill patternType="solid">
        <fgColor rgb="0017A2A2"/>
      </patternFill>
    </fill>
    <fill>
      <patternFill patternType="solid">
        <fgColor rgb="002E9E5B"/>
      </patternFill>
    </fill>
    <fill>
      <patternFill patternType="solid">
        <fgColor rgb="00FFFFFF"/>
      </patternFill>
    </fill>
    <fill>
      <patternFill patternType="solid">
        <fgColor rgb="004F9CD9"/>
      </patternFill>
    </fill>
    <fill>
      <patternFill patternType="solid">
        <fgColor rgb="00E1A100"/>
      </patternFill>
    </fill>
    <fill>
      <patternFill patternType="solid">
        <fgColor rgb="006C5CE7"/>
      </patternFill>
    </fill>
    <fill>
      <patternFill patternType="solid">
        <fgColor rgb="00C0392B"/>
      </patternFill>
    </fill>
    <fill>
      <patternFill patternType="solid">
        <fgColor rgb="001B3A5B"/>
      </patternFill>
    </fill>
    <fill>
      <patternFill patternType="solid">
        <fgColor rgb="00E8873A"/>
      </patternFill>
    </fill>
  </fills>
  <borders count="20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left style="thin">
        <color rgb="002E9E5B"/>
      </left>
      <right style="thin">
        <color rgb="002E9E5B"/>
      </right>
      <bottom/>
    </border>
    <border>
      <left style="thin">
        <color rgb="002E9E5B"/>
      </left>
      <right style="thin">
        <color rgb="002E9E5B"/>
      </right>
      <bottom style="medium">
        <color rgb="002E9E5B"/>
      </bottom>
    </border>
    <border>
      <left style="thin">
        <color rgb="004F9CD9"/>
      </left>
      <right style="thin">
        <color rgb="004F9CD9"/>
      </right>
      <bottom/>
    </border>
    <border>
      <left style="thin">
        <color rgb="004F9CD9"/>
      </left>
      <right style="thin">
        <color rgb="004F9CD9"/>
      </right>
      <bottom style="medium">
        <color rgb="004F9CD9"/>
      </bottom>
    </border>
    <border>
      <left style="thin">
        <color rgb="00E1A100"/>
      </left>
      <right style="thin">
        <color rgb="00E1A100"/>
      </right>
      <bottom/>
    </border>
    <border>
      <left style="thin">
        <color rgb="00E1A100"/>
      </left>
      <right style="thin">
        <color rgb="00E1A100"/>
      </right>
      <bottom style="medium">
        <color rgb="00E1A100"/>
      </bottom>
    </border>
    <border>
      <left style="thin">
        <color rgb="006C5CE7"/>
      </left>
      <right style="thin">
        <color rgb="006C5CE7"/>
      </right>
      <bottom/>
    </border>
    <border>
      <left style="thin">
        <color rgb="006C5CE7"/>
      </left>
      <right style="thin">
        <color rgb="006C5CE7"/>
      </right>
      <bottom style="medium">
        <color rgb="006C5CE7"/>
      </bottom>
    </border>
    <border>
      <left style="thin">
        <color rgb="00C0392B"/>
      </left>
      <right style="thin">
        <color rgb="00C0392B"/>
      </right>
      <bottom/>
    </border>
    <border>
      <left style="thin">
        <color rgb="00C0392B"/>
      </left>
      <right style="thin">
        <color rgb="00C0392B"/>
      </right>
      <bottom style="medium">
        <color rgb="00C0392B"/>
      </bottom>
    </border>
    <border>
      <left style="thin">
        <color rgb="001B3A5B"/>
      </left>
      <right style="thin">
        <color rgb="001B3A5B"/>
      </right>
      <bottom/>
    </border>
    <border>
      <left style="thin">
        <color rgb="001B3A5B"/>
      </left>
      <right style="thin">
        <color rgb="001B3A5B"/>
      </right>
      <bottom style="medium">
        <color rgb="001B3A5B"/>
      </bottom>
    </border>
    <border>
      <left style="thin">
        <color rgb="002F6FB0"/>
      </left>
      <right style="thin">
        <color rgb="002F6FB0"/>
      </right>
      <bottom/>
    </border>
    <border>
      <left style="thin">
        <color rgb="002F6FB0"/>
      </left>
      <right style="thin">
        <color rgb="002F6FB0"/>
      </right>
      <bottom style="medium">
        <color rgb="002F6FB0"/>
      </bottom>
    </border>
    <border>
      <left style="thin">
        <color rgb="0017A2A2"/>
      </left>
      <right style="thin">
        <color rgb="0017A2A2"/>
      </right>
      <bottom/>
    </border>
    <border>
      <left style="thin">
        <color rgb="0017A2A2"/>
      </left>
      <right style="thin">
        <color rgb="0017A2A2"/>
      </right>
      <bottom style="medium">
        <color rgb="0017A2A2"/>
      </bottom>
    </border>
    <border>
      <left style="thin">
        <color rgb="00E8873A"/>
      </left>
      <right style="thin">
        <color rgb="00E8873A"/>
      </right>
      <bottom/>
    </border>
    <border>
      <left style="thin">
        <color rgb="00E8873A"/>
      </left>
      <right style="thin">
        <color rgb="00E8873A"/>
      </right>
      <bottom style="medium">
        <color rgb="00E8873A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5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5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5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5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3" fontId="9" fillId="8" borderId="2" applyAlignment="1" pivotButton="0" quotePrefix="0" xfId="0">
      <alignment horizontal="center" vertical="center"/>
    </xf>
    <xf numFmtId="0" fontId="0" fillId="8" borderId="2" pivotButton="0" quotePrefix="0" xfId="0"/>
    <xf numFmtId="3" fontId="11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2" fillId="8" borderId="6" applyAlignment="1" pivotButton="0" quotePrefix="0" xfId="0">
      <alignment horizontal="center" vertical="center"/>
    </xf>
    <xf numFmtId="0" fontId="0" fillId="8" borderId="6" pivotButton="0" quotePrefix="0" xfId="0"/>
    <xf numFmtId="3" fontId="13" fillId="8" borderId="8" applyAlignment="1" pivotButton="0" quotePrefix="0" xfId="0">
      <alignment horizontal="center" vertical="center"/>
    </xf>
    <xf numFmtId="0" fontId="0" fillId="8" borderId="8" pivotButton="0" quotePrefix="0" xfId="0"/>
    <xf numFmtId="3" fontId="14" fillId="8" borderId="10" applyAlignment="1" pivotButton="0" quotePrefix="0" xfId="0">
      <alignment horizontal="center" vertical="center"/>
    </xf>
    <xf numFmtId="0" fontId="0" fillId="8" borderId="10" pivotButton="0" quotePrefix="0" xfId="0"/>
    <xf numFmtId="0" fontId="10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10" fillId="8" borderId="5" applyAlignment="1" pivotButton="0" quotePrefix="0" xfId="0">
      <alignment horizontal="center" vertical="center"/>
    </xf>
    <xf numFmtId="0" fontId="0" fillId="8" borderId="5" pivotButton="0" quotePrefix="0" xfId="0"/>
    <xf numFmtId="0" fontId="10" fillId="8" borderId="7" applyAlignment="1" pivotButton="0" quotePrefix="0" xfId="0">
      <alignment horizontal="center" vertical="center"/>
    </xf>
    <xf numFmtId="0" fontId="0" fillId="8" borderId="7" pivotButton="0" quotePrefix="0" xfId="0"/>
    <xf numFmtId="0" fontId="10" fillId="8" borderId="9" applyAlignment="1" pivotButton="0" quotePrefix="0" xfId="0">
      <alignment horizontal="center" vertical="center"/>
    </xf>
    <xf numFmtId="0" fontId="0" fillId="8" borderId="9" pivotButton="0" quotePrefix="0" xfId="0"/>
    <xf numFmtId="0" fontId="10" fillId="8" borderId="11" applyAlignment="1" pivotButton="0" quotePrefix="0" xfId="0">
      <alignment horizontal="center" vertical="center"/>
    </xf>
    <xf numFmtId="0" fontId="0" fillId="8" borderId="11" pivotButton="0" quotePrefix="0" xfId="0"/>
    <xf numFmtId="0" fontId="5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166" fontId="15" fillId="8" borderId="12" applyAlignment="1" pivotButton="0" quotePrefix="0" xfId="0">
      <alignment horizontal="center" vertical="center"/>
    </xf>
    <xf numFmtId="0" fontId="0" fillId="8" borderId="12" pivotButton="0" quotePrefix="0" xfId="0"/>
    <xf numFmtId="166" fontId="16" fillId="8" borderId="14" applyAlignment="1" pivotButton="0" quotePrefix="0" xfId="0">
      <alignment horizontal="center" vertical="center"/>
    </xf>
    <xf numFmtId="0" fontId="0" fillId="8" borderId="14" pivotButton="0" quotePrefix="0" xfId="0"/>
    <xf numFmtId="167" fontId="17" fillId="8" borderId="16" applyAlignment="1" pivotButton="0" quotePrefix="0" xfId="0">
      <alignment horizontal="center" vertical="center"/>
    </xf>
    <xf numFmtId="0" fontId="0" fillId="8" borderId="16" pivotButton="0" quotePrefix="0" xfId="0"/>
    <xf numFmtId="166" fontId="18" fillId="8" borderId="18" applyAlignment="1" pivotButton="0" quotePrefix="0" xfId="0">
      <alignment horizontal="center" vertical="center"/>
    </xf>
    <xf numFmtId="0" fontId="0" fillId="8" borderId="18" pivotButton="0" quotePrefix="0" xfId="0"/>
    <xf numFmtId="168" fontId="9" fillId="8" borderId="2" applyAlignment="1" pivotButton="0" quotePrefix="0" xfId="0">
      <alignment horizontal="center" vertical="center"/>
    </xf>
    <xf numFmtId="0" fontId="10" fillId="8" borderId="13" applyAlignment="1" pivotButton="0" quotePrefix="0" xfId="0">
      <alignment horizontal="center" vertical="center"/>
    </xf>
    <xf numFmtId="0" fontId="0" fillId="8" borderId="13" pivotButton="0" quotePrefix="0" xfId="0"/>
    <xf numFmtId="0" fontId="10" fillId="8" borderId="15" applyAlignment="1" pivotButton="0" quotePrefix="0" xfId="0">
      <alignment horizontal="center" vertical="center"/>
    </xf>
    <xf numFmtId="0" fontId="0" fillId="8" borderId="15" pivotButton="0" quotePrefix="0" xfId="0"/>
    <xf numFmtId="0" fontId="10" fillId="8" borderId="17" applyAlignment="1" pivotButton="0" quotePrefix="0" xfId="0">
      <alignment horizontal="center" vertical="center"/>
    </xf>
    <xf numFmtId="0" fontId="0" fillId="8" borderId="17" pivotButton="0" quotePrefix="0" xfId="0"/>
    <xf numFmtId="0" fontId="10" fillId="8" borderId="19" applyAlignment="1" pivotButton="0" quotePrefix="0" xfId="0">
      <alignment horizontal="center" vertical="center"/>
    </xf>
    <xf numFmtId="0" fontId="0" fillId="8" borderId="19" pivotButton="0" quotePrefix="0" xfId="0"/>
    <xf numFmtId="0" fontId="19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4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165" fontId="0" fillId="5" borderId="1" applyAlignment="1" pivotButton="0" quotePrefix="0" xfId="0">
      <alignment horizontal="center"/>
    </xf>
    <xf numFmtId="166" fontId="0" fillId="5" borderId="1" pivotButton="0" quotePrefix="0" xfId="0"/>
    <xf numFmtId="0" fontId="0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7" fontId="0" fillId="0" borderId="1" applyAlignment="1" pivotButton="0" quotePrefix="0" xfId="0">
      <alignment horizontal="center"/>
    </xf>
    <xf numFmtId="167" fontId="0" fillId="5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12">
    <dxf>
      <font>
        <name val="Calibri"/>
        <b val="1"/>
        <color rgb="001E7A45"/>
      </font>
      <fill>
        <patternFill patternType="solid">
          <fgColor rgb="00D5F2E3"/>
        </patternFill>
      </fill>
    </dxf>
    <dxf>
      <font>
        <name val="Calibri"/>
        <b val="1"/>
        <color rgb="00C0392B"/>
      </font>
      <fill>
        <patternFill patternType="solid">
          <fgColor rgb="00FADBD8"/>
        </patternFill>
      </fill>
    </dxf>
    <dxf>
      <font>
        <name val="Calibri"/>
        <b val="1"/>
        <color rgb="00B9770E"/>
      </font>
      <fill>
        <patternFill patternType="solid">
          <fgColor rgb="00FDEBD0"/>
        </patternFill>
      </fill>
    </dxf>
    <dxf>
      <font>
        <name val="Calibri"/>
        <b val="1"/>
        <color rgb="0021618C"/>
      </font>
      <fill>
        <patternFill patternType="solid">
          <fgColor rgb="00D6EAF8"/>
        </patternFill>
      </fill>
    </dxf>
    <dxf>
      <font>
        <name val="Calibri"/>
        <color rgb="005B6472"/>
      </font>
      <fill>
        <patternFill patternType="solid">
          <fgColor rgb="00EAECEE"/>
        </patternFill>
      </fill>
    </dxf>
    <dxf>
      <font>
        <name val="Calibri"/>
        <color rgb="00B9770E"/>
      </font>
      <fill>
        <patternFill patternType="solid">
          <fgColor rgb="00FDEBD0"/>
        </patternFill>
      </fill>
    </dxf>
    <dxf>
      <font>
        <name val="Calibri"/>
        <b val="1"/>
        <color rgb="00922B21"/>
      </font>
      <fill>
        <patternFill patternType="solid">
          <fgColor rgb="00F5B7B1"/>
        </patternFill>
      </fill>
    </dxf>
    <dxf>
      <font>
        <name val="Calibri"/>
        <b val="1"/>
        <color rgb="009A7D0A"/>
      </font>
      <fill>
        <patternFill patternType="solid">
          <fgColor rgb="00FCF3CF"/>
        </patternFill>
      </fill>
    </dxf>
    <dxf>
      <font>
        <name val="Calibri"/>
        <color rgb="001E7A45"/>
      </font>
      <fill>
        <patternFill patternType="solid">
          <fgColor rgb="00D5F2E3"/>
        </patternFill>
      </fill>
    </dxf>
    <dxf>
      <font>
        <name val="Calibri"/>
        <color rgb="00C0392B"/>
      </font>
      <fill>
        <patternFill patternType="solid">
          <fgColor rgb="00FADBD8"/>
        </patternFill>
      </fill>
    </dxf>
    <dxf>
      <font>
        <name val="Calibri"/>
        <color rgb="0021618C"/>
      </font>
      <fill>
        <patternFill patternType="solid">
          <fgColor rgb="00D6EAF8"/>
        </patternFill>
      </fill>
    </dxf>
    <dxf>
      <font>
        <name val="Calibri"/>
        <color rgb="009A7D0A"/>
      </font>
      <fill>
        <patternFill patternType="solid">
          <f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clients par statut</a:t>
            </a:r>
          </a:p>
        </rich>
      </tx>
    </title>
    <plotArea>
      <doughnutChart>
        <varyColors val="1"/>
        <ser>
          <idx val="0"/>
          <order val="0"/>
          <tx>
            <strRef>
              <f>'Tableau de bord'!C13</f>
            </strRef>
          </tx>
          <spPr>
            <a:ln>
              <a:prstDash val="solid"/>
            </a:ln>
          </spPr>
          <cat>
            <numRef>
              <f>'Tableau de bord'!$B$14:$B$18</f>
            </numRef>
          </cat>
          <val>
            <numRef>
              <f>'Tableau de bord'!$C$14:$C$18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réalisé par commercial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bord'!G13</f>
            </strRef>
          </tx>
          <spPr>
            <a:ln>
              <a:prstDash val="solid"/>
            </a:ln>
          </spPr>
          <cat>
            <numRef>
              <f>'Tableau de bord'!$F$14:$F$18</f>
            </numRef>
          </cat>
          <val>
            <numRef>
              <f>'Tableau de bord'!$G$14:$G$18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€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prévu par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'Tableau de bord'!K13</f>
            </strRef>
          </tx>
          <spPr>
            <a:ln>
              <a:prstDash val="solid"/>
            </a:ln>
          </spPr>
          <cat>
            <numRef>
              <f>'Tableau de bord'!$J$14:$J$17</f>
            </numRef>
          </cat>
          <val>
            <numRef>
              <f>'Tableau de bord'!$K$14:$K$17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 €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Évolution mensuelle : CA réalisé vs objectif</a:t>
            </a:r>
          </a:p>
        </rich>
      </tx>
    </title>
    <plotArea>
      <lineChart>
        <grouping val="standard"/>
        <ser>
          <idx val="0"/>
          <order val="0"/>
          <tx>
            <strRef>
              <f>'Historique'!B3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'Historique'!$A$4:$A$15</f>
            </numRef>
          </cat>
          <val>
            <numRef>
              <f>'Historique'!$B$4:$B$15</f>
            </numRef>
          </val>
          <smooth val="1"/>
        </ser>
        <ser>
          <idx val="1"/>
          <order val="1"/>
          <tx>
            <strRef>
              <f>'Historique'!C3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'Historique'!$A$4:$A$15</f>
            </numRef>
          </cat>
          <val>
            <numRef>
              <f>'Historique'!$C$4:$C$15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€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Entonnoir de conversion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'Tableau de bord'!C22</f>
            </strRef>
          </tx>
          <spPr>
            <a:ln>
              <a:prstDash val="solid"/>
            </a:ln>
          </spPr>
          <cat>
            <numRef>
              <f>'Tableau de bord'!$B$23:$B$25</f>
            </numRef>
          </cat>
          <val>
            <numRef>
              <f>'Tableau de bord'!$C$23:$C$25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27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43</row>
      <rowOff>0</rowOff>
    </from>
    <ext cx="8460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43</row>
      <rowOff>0</rowOff>
    </from>
    <ext cx="4140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9" customWidth="1" min="2" max="2"/>
    <col width="13" customWidth="1" min="3" max="3"/>
    <col width="13" customWidth="1" min="4" max="4"/>
    <col width="2" customWidth="1" min="5" max="5"/>
    <col width="19" customWidth="1" min="6" max="6"/>
    <col width="13" customWidth="1" min="7" max="7"/>
    <col width="13" customWidth="1" min="8" max="8"/>
    <col width="2" customWidth="1" min="9" max="9"/>
    <col width="19" customWidth="1" min="10" max="10"/>
    <col width="13" customWidth="1" min="11" max="11"/>
    <col width="13" customWidth="1" min="12" max="12"/>
    <col width="2.5" customWidth="1" min="13" max="13"/>
  </cols>
  <sheetData>
    <row r="1" ht="44" customHeight="1">
      <c r="B1" s="1" t="inlineStr">
        <is>
          <t xml:space="preserve">  TABLEAU DE BORD — SUIVI CLIENTS</t>
        </is>
      </c>
    </row>
    <row r="2" ht="22" customHeight="1">
      <c r="B2" s="2" t="inlineStr">
        <is>
          <t xml:space="preserve">  Portefeuille clients · mise à jour automatique · données au 08/07/2026</t>
        </is>
      </c>
    </row>
    <row r="3" ht="8" customHeight="1"/>
    <row r="4" ht="20" customHeight="1">
      <c r="B4" s="3" t="inlineStr">
        <is>
          <t>Clients actifs</t>
        </is>
      </c>
      <c r="C4" s="4" t="n"/>
      <c r="D4" s="5" t="inlineStr">
        <is>
          <t>Prospects</t>
        </is>
      </c>
      <c r="E4" s="6" t="n"/>
      <c r="F4" s="7" t="inlineStr">
        <is>
          <t>En négociation</t>
        </is>
      </c>
      <c r="G4" s="8" t="n"/>
      <c r="H4" s="9" t="inlineStr">
        <is>
          <t>Portefeuille total</t>
        </is>
      </c>
      <c r="I4" s="10" t="n"/>
      <c r="J4" s="11" t="inlineStr">
        <is>
          <t>Relances en retard</t>
        </is>
      </c>
      <c r="K4" s="12" t="n"/>
    </row>
    <row r="5" ht="40" customHeight="1">
      <c r="B5" s="13">
        <f>COUNTIF(Clients!$J$4:$J$57,"Actif")</f>
        <v/>
      </c>
      <c r="C5" s="14" t="n"/>
      <c r="D5" s="15">
        <f>COUNTIF(Clients!$J$4:$J$57,"Prospect")</f>
        <v/>
      </c>
      <c r="E5" s="16" t="n"/>
      <c r="F5" s="17">
        <f>COUNTIF(Clients!$J$4:$J$57,"En négociation")</f>
        <v/>
      </c>
      <c r="G5" s="18" t="n"/>
      <c r="H5" s="19">
        <f>COUNTA(Clients!$J$4:$J$57)-COUNTBLANK(Clients!$J$4:$J$57)</f>
        <v/>
      </c>
      <c r="I5" s="20" t="n"/>
      <c r="J5" s="21">
        <f>COUNTIF(Clients!$S$4:$S$57,"*retard*")</f>
        <v/>
      </c>
      <c r="K5" s="22" t="n"/>
    </row>
    <row r="6" ht="16" customHeight="1">
      <c r="B6" s="23" t="inlineStr">
        <is>
          <t>clients avec CA en cours</t>
        </is>
      </c>
      <c r="C6" s="24" t="n"/>
      <c r="D6" s="25" t="inlineStr">
        <is>
          <t>à convertir</t>
        </is>
      </c>
      <c r="E6" s="26" t="n"/>
      <c r="F6" s="27" t="inlineStr">
        <is>
          <t>opportunités ouvertes</t>
        </is>
      </c>
      <c r="G6" s="28" t="n"/>
      <c r="H6" s="29" t="inlineStr">
        <is>
          <t>clients enregistrés</t>
        </is>
      </c>
      <c r="I6" s="30" t="n"/>
      <c r="J6" s="31" t="inlineStr">
        <is>
          <t>à traiter en priorité</t>
        </is>
      </c>
      <c r="K6" s="32" t="n"/>
    </row>
    <row r="8" ht="20" customHeight="1">
      <c r="B8" s="33" t="inlineStr">
        <is>
          <t>CA réalisé</t>
        </is>
      </c>
      <c r="C8" s="34" t="n"/>
      <c r="D8" s="35" t="inlineStr">
        <is>
          <t>CA prévisionnel</t>
        </is>
      </c>
      <c r="E8" s="36" t="n"/>
      <c r="F8" s="37" t="inlineStr">
        <is>
          <t>Taux de signature</t>
        </is>
      </c>
      <c r="G8" s="38" t="n"/>
      <c r="H8" s="39" t="inlineStr">
        <is>
          <t>Panier moyen</t>
        </is>
      </c>
      <c r="I8" s="40" t="n"/>
      <c r="J8" s="3" t="inlineStr">
        <is>
          <t>Satisfaction moy.</t>
        </is>
      </c>
      <c r="K8" s="4" t="n"/>
    </row>
    <row r="9" ht="40" customHeight="1">
      <c r="B9" s="41">
        <f>SUM(Clients!$P$4:$P$57)</f>
        <v/>
      </c>
      <c r="C9" s="42" t="n"/>
      <c r="D9" s="43">
        <f>SUM(Clients!$O$4:$O$57)</f>
        <v/>
      </c>
      <c r="E9" s="44" t="n"/>
      <c r="F9" s="45">
        <f>IFERROR(COUNTIF(Clients!$J$4:$J$57,"Actif")/(COUNTA(Clients!$J$4:$J$57)-COUNTBLANK(Clients!$J$4:$J$57)),0)</f>
        <v/>
      </c>
      <c r="G9" s="46" t="n"/>
      <c r="H9" s="47">
        <f>IFERROR(SUM(Clients!$P$4:$P$57)/COUNTIF(Clients!$P$4:$P$57,"&gt;0"),0)</f>
        <v/>
      </c>
      <c r="I9" s="48" t="n"/>
      <c r="J9" s="49">
        <f>IFERROR(AVERAGE(Clients!$Q$4:$Q$57),0)</f>
        <v/>
      </c>
      <c r="K9" s="14" t="n"/>
    </row>
    <row r="10" ht="16" customHeight="1">
      <c r="B10" s="50" t="inlineStr">
        <is>
          <t>cumul encaissé</t>
        </is>
      </c>
      <c r="C10" s="51" t="n"/>
      <c r="D10" s="52" t="inlineStr">
        <is>
          <t>pipeline global</t>
        </is>
      </c>
      <c r="E10" s="53" t="n"/>
      <c r="F10" s="54" t="inlineStr">
        <is>
          <t>actifs / total</t>
        </is>
      </c>
      <c r="G10" s="55" t="n"/>
      <c r="H10" s="56" t="inlineStr">
        <is>
          <t>CA moyen par client</t>
        </is>
      </c>
      <c r="I10" s="57" t="n"/>
      <c r="J10" s="23" t="inlineStr">
        <is>
          <t>note sur 5</t>
        </is>
      </c>
      <c r="K10" s="24" t="n"/>
    </row>
    <row r="11" ht="8" customHeight="1"/>
    <row r="12">
      <c r="B12" s="58" t="inlineStr">
        <is>
          <t>Répartition par statut</t>
        </is>
      </c>
      <c r="F12" s="58" t="inlineStr">
        <is>
          <t>CA réalisé par commercial</t>
        </is>
      </c>
      <c r="J12" s="58" t="inlineStr">
        <is>
          <t>CA prévu par segment</t>
        </is>
      </c>
    </row>
    <row r="13">
      <c r="B13" s="59" t="inlineStr">
        <is>
          <t>Statut</t>
        </is>
      </c>
      <c r="C13" s="59" t="inlineStr">
        <is>
          <t>Nombre</t>
        </is>
      </c>
      <c r="F13" s="59" t="inlineStr">
        <is>
          <t>Commercial</t>
        </is>
      </c>
      <c r="G13" s="59" t="inlineStr">
        <is>
          <t>CA réalisé</t>
        </is>
      </c>
      <c r="J13" s="59" t="inlineStr">
        <is>
          <t>Segment</t>
        </is>
      </c>
      <c r="K13" s="59" t="inlineStr">
        <is>
          <t>CA prévu</t>
        </is>
      </c>
    </row>
    <row r="14">
      <c r="B14" s="60" t="inlineStr">
        <is>
          <t>Prospect</t>
        </is>
      </c>
      <c r="C14" s="61">
        <f>COUNTIF(Clients!$J$4:$J$57,B14)</f>
        <v/>
      </c>
      <c r="F14" s="60" t="inlineStr">
        <is>
          <t>Sophie Martin</t>
        </is>
      </c>
      <c r="G14" s="62">
        <f>SUMIF(Clients!$I$4:$I$57,F14,Clients!$P$4:$P$57)</f>
        <v/>
      </c>
      <c r="J14" s="60" t="inlineStr">
        <is>
          <t>Grand Compte</t>
        </is>
      </c>
      <c r="K14" s="62">
        <f>SUMIF(Clients!$F$4:$F$57,J14,Clients!$O$4:$O$57)</f>
        <v/>
      </c>
    </row>
    <row r="15">
      <c r="B15" s="60" t="inlineStr">
        <is>
          <t>Actif</t>
        </is>
      </c>
      <c r="C15" s="61">
        <f>COUNTIF(Clients!$J$4:$J$57,B15)</f>
        <v/>
      </c>
      <c r="F15" s="60" t="inlineStr">
        <is>
          <t>Karim Benali</t>
        </is>
      </c>
      <c r="G15" s="62">
        <f>SUMIF(Clients!$I$4:$I$57,F15,Clients!$P$4:$P$57)</f>
        <v/>
      </c>
      <c r="J15" s="60" t="inlineStr">
        <is>
          <t>PME</t>
        </is>
      </c>
      <c r="K15" s="62">
        <f>SUMIF(Clients!$F$4:$F$57,J15,Clients!$O$4:$O$57)</f>
        <v/>
      </c>
    </row>
    <row r="16">
      <c r="B16" s="60" t="inlineStr">
        <is>
          <t>En négociation</t>
        </is>
      </c>
      <c r="C16" s="61">
        <f>COUNTIF(Clients!$J$4:$J$57,B16)</f>
        <v/>
      </c>
      <c r="F16" s="60" t="inlineStr">
        <is>
          <t>Léa Dubois</t>
        </is>
      </c>
      <c r="G16" s="62">
        <f>SUMIF(Clients!$I$4:$I$57,F16,Clients!$P$4:$P$57)</f>
        <v/>
      </c>
      <c r="J16" s="60" t="inlineStr">
        <is>
          <t>TPE</t>
        </is>
      </c>
      <c r="K16" s="62">
        <f>SUMIF(Clients!$F$4:$F$57,J16,Clients!$O$4:$O$57)</f>
        <v/>
      </c>
    </row>
    <row r="17">
      <c r="B17" s="60" t="inlineStr">
        <is>
          <t>Inactif</t>
        </is>
      </c>
      <c r="C17" s="61">
        <f>COUNTIF(Clients!$J$4:$J$57,B17)</f>
        <v/>
      </c>
      <c r="F17" s="60" t="inlineStr">
        <is>
          <t>Thomas Petit</t>
        </is>
      </c>
      <c r="G17" s="62">
        <f>SUMIF(Clients!$I$4:$I$57,F17,Clients!$P$4:$P$57)</f>
        <v/>
      </c>
      <c r="J17" s="60" t="inlineStr">
        <is>
          <t>Particulier</t>
        </is>
      </c>
      <c r="K17" s="62">
        <f>SUMIF(Clients!$F$4:$F$57,J17,Clients!$O$4:$O$57)</f>
        <v/>
      </c>
    </row>
    <row r="18">
      <c r="B18" s="60" t="inlineStr">
        <is>
          <t>Perdu</t>
        </is>
      </c>
      <c r="C18" s="61">
        <f>COUNTIF(Clients!$J$4:$J$57,B18)</f>
        <v/>
      </c>
      <c r="F18" s="60" t="inlineStr">
        <is>
          <t>Nadia Cohen</t>
        </is>
      </c>
      <c r="G18" s="62">
        <f>SUMIF(Clients!$I$4:$I$57,F18,Clients!$P$4:$P$57)</f>
        <v/>
      </c>
    </row>
    <row r="21">
      <c r="B21" s="58" t="inlineStr">
        <is>
          <t>Entonnoir de conversion</t>
        </is>
      </c>
    </row>
    <row r="22">
      <c r="B22" s="59" t="inlineStr">
        <is>
          <t>Étape</t>
        </is>
      </c>
      <c r="C22" s="59" t="inlineStr">
        <is>
          <t>Clients</t>
        </is>
      </c>
    </row>
    <row r="23">
      <c r="B23" s="60" t="inlineStr">
        <is>
          <t>Prospects</t>
        </is>
      </c>
      <c r="C23" s="61">
        <f>COUNTIF(Clients!$J$4:$J$57,"Prospect")+COUNTIF(Clients!$J$4:$J$57,"En négociation")+COUNTIF(Clients!$J$4:$J$57,"Actif")</f>
        <v/>
      </c>
    </row>
    <row r="24">
      <c r="B24" s="60" t="inlineStr">
        <is>
          <t>En négociation</t>
        </is>
      </c>
      <c r="C24" s="61">
        <f>COUNTIF(Clients!$J$4:$J$57,"En négociation")+COUNTIF(Clients!$J$4:$J$57,"Actif")</f>
        <v/>
      </c>
    </row>
    <row r="25">
      <c r="B25" s="60" t="inlineStr">
        <is>
          <t>Clients actifs</t>
        </is>
      </c>
      <c r="C25" s="61">
        <f>COUNTIF(Clients!$J$4:$J$57,"Actif")</f>
        <v/>
      </c>
    </row>
    <row r="60">
      <c r="B60" s="63" t="inlineStr">
        <is>
          <t>Astuce : renseignez vos clients dans l'onglet « Clients » et vos échanges dans « Suivi &amp; Relances » — tout se met à jour automatiquement.</t>
        </is>
      </c>
    </row>
  </sheetData>
  <mergeCells count="32">
    <mergeCell ref="F4:G4"/>
    <mergeCell ref="D10:E10"/>
    <mergeCell ref="J5:K5"/>
    <mergeCell ref="F10:G10"/>
    <mergeCell ref="H10:I10"/>
    <mergeCell ref="J10:K10"/>
    <mergeCell ref="F6:G6"/>
    <mergeCell ref="H4:I4"/>
    <mergeCell ref="H9:I9"/>
    <mergeCell ref="J9:K9"/>
    <mergeCell ref="D6:E6"/>
    <mergeCell ref="H6:I6"/>
    <mergeCell ref="J6:K6"/>
    <mergeCell ref="F5:G5"/>
    <mergeCell ref="B2:L2"/>
    <mergeCell ref="B8:C8"/>
    <mergeCell ref="B1:L1"/>
    <mergeCell ref="F8:G8"/>
    <mergeCell ref="J4:K4"/>
    <mergeCell ref="B10:C10"/>
    <mergeCell ref="D4:E4"/>
    <mergeCell ref="B9:C9"/>
    <mergeCell ref="D9:E9"/>
    <mergeCell ref="F9:G9"/>
    <mergeCell ref="D8:E8"/>
    <mergeCell ref="B6:C6"/>
    <mergeCell ref="B5:C5"/>
    <mergeCell ref="D5:E5"/>
    <mergeCell ref="H5:I5"/>
    <mergeCell ref="H8:I8"/>
    <mergeCell ref="J8:K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24" customWidth="1" min="4" max="4"/>
    <col width="16" customWidth="1" min="5" max="5"/>
    <col width="14" customWidth="1" min="6" max="6"/>
    <col width="12" customWidth="1" min="7" max="7"/>
    <col width="20" customWidth="1" min="8" max="8"/>
    <col width="16" customWidth="1" min="9" max="9"/>
    <col width="15" customWidth="1" min="10" max="10"/>
    <col width="11" customWidth="1" min="11" max="11"/>
    <col width="12" customWidth="1" min="12" max="12"/>
    <col width="14" customWidth="1" min="13" max="13"/>
    <col width="15" customWidth="1" min="14" max="14"/>
    <col width="13" customWidth="1" min="15" max="15"/>
    <col width="14" customWidth="1" min="16" max="16"/>
    <col width="9" customWidth="1" min="17" max="17"/>
    <col width="11" customWidth="1" min="18" max="18"/>
    <col width="14" customWidth="1" min="19" max="19"/>
  </cols>
  <sheetData>
    <row r="1" ht="36" customHeight="1">
      <c r="A1" s="64" t="inlineStr">
        <is>
          <t xml:space="preserve">  SUIVI CLIENTS — BASE DE DONNÉES</t>
        </is>
      </c>
    </row>
    <row r="2" ht="20" customHeight="1">
      <c r="A2" s="65" t="inlineStr">
        <is>
          <t xml:space="preserve">  Une ligne par client — les colonnes bleutées (ID, Jours, Alerte) se calculent seules.</t>
        </is>
      </c>
    </row>
    <row r="3" ht="30" customHeight="1">
      <c r="A3" s="66" t="inlineStr">
        <is>
          <t>ID</t>
        </is>
      </c>
      <c r="B3" s="66" t="inlineStr">
        <is>
          <t>Entreprise</t>
        </is>
      </c>
      <c r="C3" s="66" t="inlineStr">
        <is>
          <t>Contact</t>
        </is>
      </c>
      <c r="D3" s="66" t="inlineStr">
        <is>
          <t>Email</t>
        </is>
      </c>
      <c r="E3" s="66" t="inlineStr">
        <is>
          <t>Téléphone</t>
        </is>
      </c>
      <c r="F3" s="66" t="inlineStr">
        <is>
          <t>Segment</t>
        </is>
      </c>
      <c r="G3" s="66" t="inlineStr">
        <is>
          <t>Secteur</t>
        </is>
      </c>
      <c r="H3" s="66" t="inlineStr">
        <is>
          <t>Région</t>
        </is>
      </c>
      <c r="I3" s="66" t="inlineStr">
        <is>
          <t>Commercial</t>
        </is>
      </c>
      <c r="J3" s="66" t="inlineStr">
        <is>
          <t>Statut</t>
        </is>
      </c>
      <c r="K3" s="66" t="inlineStr">
        <is>
          <t>Priorité</t>
        </is>
      </c>
      <c r="L3" s="66" t="inlineStr">
        <is>
          <t>Date entrée</t>
        </is>
      </c>
      <c r="M3" s="66" t="inlineStr">
        <is>
          <t>Dernier contact</t>
        </is>
      </c>
      <c r="N3" s="66" t="inlineStr">
        <is>
          <t>Prochaine relance</t>
        </is>
      </c>
      <c r="O3" s="66" t="inlineStr">
        <is>
          <t>CA prévu (€)</t>
        </is>
      </c>
      <c r="P3" s="66" t="inlineStr">
        <is>
          <t>CA réalisé (€)</t>
        </is>
      </c>
      <c r="Q3" s="66" t="inlineStr">
        <is>
          <t>Satisf.</t>
        </is>
      </c>
      <c r="R3" s="66" t="inlineStr">
        <is>
          <t>Jrs contact</t>
        </is>
      </c>
      <c r="S3" s="66" t="inlineStr">
        <is>
          <t>Alerte</t>
        </is>
      </c>
    </row>
    <row r="4">
      <c r="A4" s="67">
        <f>IF(B4="","",TEXT(ROW()-3,"000"))</f>
        <v/>
      </c>
      <c r="B4" s="60" t="inlineStr">
        <is>
          <t>Nexora Digital</t>
        </is>
      </c>
      <c r="C4" s="60" t="inlineStr">
        <is>
          <t>Paul Renard</t>
        </is>
      </c>
      <c r="D4" s="60" t="inlineStr">
        <is>
          <t>contact@nexora.fr</t>
        </is>
      </c>
      <c r="E4" s="60" t="inlineStr">
        <is>
          <t>05 41 38 27 23</t>
        </is>
      </c>
      <c r="F4" s="60" t="inlineStr">
        <is>
          <t>TPE</t>
        </is>
      </c>
      <c r="G4" s="60" t="inlineStr">
        <is>
          <t>Tech</t>
        </is>
      </c>
      <c r="H4" s="60" t="inlineStr">
        <is>
          <t>Auvergne-Rhône-Alpes</t>
        </is>
      </c>
      <c r="I4" s="60" t="inlineStr">
        <is>
          <t>Nadia Cohen</t>
        </is>
      </c>
      <c r="J4" s="60" t="inlineStr">
        <is>
          <t>Prospect</t>
        </is>
      </c>
      <c r="K4" s="60" t="inlineStr">
        <is>
          <t>Moyenne</t>
        </is>
      </c>
      <c r="L4" s="68" t="n">
        <v>45515</v>
      </c>
      <c r="M4" s="68" t="n">
        <v>46141</v>
      </c>
      <c r="N4" s="68" t="n">
        <v>46168</v>
      </c>
      <c r="O4" s="62" t="n">
        <v>10500</v>
      </c>
      <c r="P4" s="62" t="n">
        <v>0</v>
      </c>
      <c r="Q4" s="61" t="n">
        <v>4</v>
      </c>
      <c r="R4" s="69">
        <f>IF(M4="","",TODAY()-M4)</f>
        <v/>
      </c>
      <c r="S4" s="69">
        <f>IF(N4="","",IF(N4&lt;TODAY(),"⚠ En retard",IF(N4&lt;=TODAY()+7,"◕ Bientôt","✓ OK")))</f>
        <v/>
      </c>
    </row>
    <row r="5">
      <c r="A5" s="67">
        <f>IF(B5="","",TEXT(ROW()-3,"000"))</f>
        <v/>
      </c>
      <c r="B5" s="70" t="inlineStr">
        <is>
          <t>Belmont Partners</t>
        </is>
      </c>
      <c r="C5" s="70" t="inlineStr">
        <is>
          <t>Emma Garcia</t>
        </is>
      </c>
      <c r="D5" s="70" t="inlineStr">
        <is>
          <t>contact@belmont.fr</t>
        </is>
      </c>
      <c r="E5" s="70" t="inlineStr">
        <is>
          <t>09 63 38 67 85</t>
        </is>
      </c>
      <c r="F5" s="70" t="inlineStr">
        <is>
          <t>PME</t>
        </is>
      </c>
      <c r="G5" s="70" t="inlineStr">
        <is>
          <t>Finance</t>
        </is>
      </c>
      <c r="H5" s="70" t="inlineStr">
        <is>
          <t>PACA</t>
        </is>
      </c>
      <c r="I5" s="70" t="inlineStr">
        <is>
          <t>Sophie Martin</t>
        </is>
      </c>
      <c r="J5" s="70" t="inlineStr">
        <is>
          <t>En négociation</t>
        </is>
      </c>
      <c r="K5" s="70" t="inlineStr">
        <is>
          <t>Haute</t>
        </is>
      </c>
      <c r="L5" s="71" t="n">
        <v>45576</v>
      </c>
      <c r="M5" s="71" t="n">
        <v>46121</v>
      </c>
      <c r="N5" s="71" t="n">
        <v>46129</v>
      </c>
      <c r="O5" s="72" t="n">
        <v>49500</v>
      </c>
      <c r="P5" s="72" t="n">
        <v>0</v>
      </c>
      <c r="Q5" s="73" t="n">
        <v>3</v>
      </c>
      <c r="R5" s="69">
        <f>IF(M5="","",TODAY()-M5)</f>
        <v/>
      </c>
      <c r="S5" s="69">
        <f>IF(N5="","",IF(N5&lt;TODAY(),"⚠ En retard",IF(N5&lt;=TODAY()+7,"◕ Bientôt","✓ OK")))</f>
        <v/>
      </c>
    </row>
    <row r="6">
      <c r="A6" s="67">
        <f>IF(B6="","",TEXT(ROW()-3,"000"))</f>
        <v/>
      </c>
      <c r="B6" s="60" t="inlineStr">
        <is>
          <t>Kaleido Industries</t>
        </is>
      </c>
      <c r="C6" s="60" t="inlineStr">
        <is>
          <t>Sarah Ancel</t>
        </is>
      </c>
      <c r="D6" s="60" t="inlineStr">
        <is>
          <t>contact@kaleido.fr</t>
        </is>
      </c>
      <c r="E6" s="60" t="inlineStr">
        <is>
          <t>06 54 87 43 15</t>
        </is>
      </c>
      <c r="F6" s="60" t="inlineStr">
        <is>
          <t>TPE</t>
        </is>
      </c>
      <c r="G6" s="60" t="inlineStr">
        <is>
          <t>Industrie</t>
        </is>
      </c>
      <c r="H6" s="60" t="inlineStr">
        <is>
          <t>Nouvelle-Aquitaine</t>
        </is>
      </c>
      <c r="I6" s="60" t="inlineStr">
        <is>
          <t>Nadia Cohen</t>
        </is>
      </c>
      <c r="J6" s="60" t="inlineStr">
        <is>
          <t>Prospect</t>
        </is>
      </c>
      <c r="K6" s="60" t="inlineStr">
        <is>
          <t>Basse</t>
        </is>
      </c>
      <c r="L6" s="68" t="n">
        <v>46141</v>
      </c>
      <c r="M6" s="68" t="n">
        <v>46174</v>
      </c>
      <c r="N6" s="68" t="n">
        <v>46181</v>
      </c>
      <c r="O6" s="62" t="n">
        <v>11500</v>
      </c>
      <c r="P6" s="62" t="n">
        <v>0</v>
      </c>
      <c r="Q6" s="61" t="n">
        <v>1</v>
      </c>
      <c r="R6" s="69">
        <f>IF(M6="","",TODAY()-M6)</f>
        <v/>
      </c>
      <c r="S6" s="69">
        <f>IF(N6="","",IF(N6&lt;TODAY(),"⚠ En retard",IF(N6&lt;=TODAY()+7,"◕ Bientôt","✓ OK")))</f>
        <v/>
      </c>
    </row>
    <row r="7">
      <c r="A7" s="67">
        <f>IF(B7="","",TEXT(ROW()-3,"000"))</f>
        <v/>
      </c>
      <c r="B7" s="70" t="inlineStr">
        <is>
          <t>Vertige Tech</t>
        </is>
      </c>
      <c r="C7" s="70" t="inlineStr">
        <is>
          <t>Manon Slimani</t>
        </is>
      </c>
      <c r="D7" s="70" t="inlineStr">
        <is>
          <t>contact@vertige.fr</t>
        </is>
      </c>
      <c r="E7" s="70" t="inlineStr">
        <is>
          <t>02 39 22 58 45</t>
        </is>
      </c>
      <c r="F7" s="70" t="inlineStr">
        <is>
          <t>PME</t>
        </is>
      </c>
      <c r="G7" s="70" t="inlineStr">
        <is>
          <t>Services</t>
        </is>
      </c>
      <c r="H7" s="70" t="inlineStr">
        <is>
          <t>Auvergne-Rhône-Alpes</t>
        </is>
      </c>
      <c r="I7" s="70" t="inlineStr">
        <is>
          <t>Léa Dubois</t>
        </is>
      </c>
      <c r="J7" s="70" t="inlineStr">
        <is>
          <t>Prospect</t>
        </is>
      </c>
      <c r="K7" s="70" t="inlineStr">
        <is>
          <t>Moyenne</t>
        </is>
      </c>
      <c r="L7" s="71" t="n">
        <v>45915</v>
      </c>
      <c r="M7" s="71" t="n">
        <v>46125</v>
      </c>
      <c r="N7" s="71" t="n">
        <v>46154</v>
      </c>
      <c r="O7" s="72" t="n">
        <v>42500</v>
      </c>
      <c r="P7" s="72" t="n">
        <v>0</v>
      </c>
      <c r="Q7" s="73" t="n">
        <v>2</v>
      </c>
      <c r="R7" s="69">
        <f>IF(M7="","",TODAY()-M7)</f>
        <v/>
      </c>
      <c r="S7" s="69">
        <f>IF(N7="","",IF(N7&lt;TODAY(),"⚠ En retard",IF(N7&lt;=TODAY()+7,"◕ Bientôt","✓ OK")))</f>
        <v/>
      </c>
    </row>
    <row r="8">
      <c r="A8" s="67">
        <f>IF(B8="","",TEXT(ROW()-3,"000"))</f>
        <v/>
      </c>
      <c r="B8" s="60" t="inlineStr">
        <is>
          <t>Doré &amp; Associés</t>
        </is>
      </c>
      <c r="C8" s="60" t="inlineStr">
        <is>
          <t>Lucie Henry</t>
        </is>
      </c>
      <c r="D8" s="60" t="inlineStr">
        <is>
          <t>contact@dore.fr</t>
        </is>
      </c>
      <c r="E8" s="60" t="inlineStr">
        <is>
          <t>09 38 97 51 17</t>
        </is>
      </c>
      <c r="F8" s="60" t="inlineStr">
        <is>
          <t>PME</t>
        </is>
      </c>
      <c r="G8" s="60" t="inlineStr">
        <is>
          <t>Industrie</t>
        </is>
      </c>
      <c r="H8" s="60" t="inlineStr">
        <is>
          <t>Hauts-de-France</t>
        </is>
      </c>
      <c r="I8" s="60" t="inlineStr">
        <is>
          <t>Sophie Martin</t>
        </is>
      </c>
      <c r="J8" s="60" t="inlineStr">
        <is>
          <t>Inactif</t>
        </is>
      </c>
      <c r="K8" s="60" t="inlineStr">
        <is>
          <t>Moyenne</t>
        </is>
      </c>
      <c r="L8" s="68" t="n">
        <v>45872</v>
      </c>
      <c r="M8" s="68" t="n">
        <v>46162</v>
      </c>
      <c r="N8" s="68" t="n">
        <v>46170</v>
      </c>
      <c r="O8" s="62" t="n">
        <v>40000</v>
      </c>
      <c r="P8" s="62" t="n">
        <v>19500</v>
      </c>
      <c r="Q8" s="61" t="n">
        <v>5</v>
      </c>
      <c r="R8" s="69">
        <f>IF(M8="","",TODAY()-M8)</f>
        <v/>
      </c>
      <c r="S8" s="69">
        <f>IF(N8="","",IF(N8&lt;TODAY(),"⚠ En retard",IF(N8&lt;=TODAY()+7,"◕ Bientôt","✓ OK")))</f>
        <v/>
      </c>
    </row>
    <row r="9">
      <c r="A9" s="67">
        <f>IF(B9="","",TEXT(ROW()-3,"000"))</f>
        <v/>
      </c>
      <c r="B9" s="70" t="inlineStr">
        <is>
          <t>Solaris Studio</t>
        </is>
      </c>
      <c r="C9" s="70" t="inlineStr">
        <is>
          <t>Camille Faure</t>
        </is>
      </c>
      <c r="D9" s="70" t="inlineStr">
        <is>
          <t>contact@solaris.fr</t>
        </is>
      </c>
      <c r="E9" s="70" t="inlineStr">
        <is>
          <t>03 41 81 78 43</t>
        </is>
      </c>
      <c r="F9" s="70" t="inlineStr">
        <is>
          <t>TPE</t>
        </is>
      </c>
      <c r="G9" s="70" t="inlineStr">
        <is>
          <t>Retail</t>
        </is>
      </c>
      <c r="H9" s="70" t="inlineStr">
        <is>
          <t>Occitanie</t>
        </is>
      </c>
      <c r="I9" s="70" t="inlineStr">
        <is>
          <t>Thomas Petit</t>
        </is>
      </c>
      <c r="J9" s="70" t="inlineStr">
        <is>
          <t>Perdu</t>
        </is>
      </c>
      <c r="K9" s="70" t="inlineStr">
        <is>
          <t>Moyenne</t>
        </is>
      </c>
      <c r="L9" s="71" t="n">
        <v>45813</v>
      </c>
      <c r="M9" s="71" t="n">
        <v>46208</v>
      </c>
      <c r="N9" s="71" t="n">
        <v>46208</v>
      </c>
      <c r="O9" s="72" t="n">
        <v>12000</v>
      </c>
      <c r="P9" s="72" t="n">
        <v>0</v>
      </c>
      <c r="Q9" s="73" t="n">
        <v>1</v>
      </c>
      <c r="R9" s="69">
        <f>IF(M9="","",TODAY()-M9)</f>
        <v/>
      </c>
      <c r="S9" s="69">
        <f>IF(N9="","",IF(N9&lt;TODAY(),"⚠ En retard",IF(N9&lt;=TODAY()+7,"◕ Bientôt","✓ OK")))</f>
        <v/>
      </c>
    </row>
    <row r="10">
      <c r="A10" s="67">
        <f>IF(B10="","",TEXT(ROW()-3,"000"))</f>
        <v/>
      </c>
      <c r="B10" s="60" t="inlineStr">
        <is>
          <t>Lauren Group</t>
        </is>
      </c>
      <c r="C10" s="60" t="inlineStr">
        <is>
          <t>Emma Khaled</t>
        </is>
      </c>
      <c r="D10" s="60" t="inlineStr">
        <is>
          <t>contact@lauren.fr</t>
        </is>
      </c>
      <c r="E10" s="60" t="inlineStr">
        <is>
          <t>07 86 18 59 58</t>
        </is>
      </c>
      <c r="F10" s="60" t="inlineStr">
        <is>
          <t>PME</t>
        </is>
      </c>
      <c r="G10" s="60" t="inlineStr">
        <is>
          <t>Tech</t>
        </is>
      </c>
      <c r="H10" s="60" t="inlineStr">
        <is>
          <t>Auvergne-Rhône-Alpes</t>
        </is>
      </c>
      <c r="I10" s="60" t="inlineStr">
        <is>
          <t>Thomas Petit</t>
        </is>
      </c>
      <c r="J10" s="60" t="inlineStr">
        <is>
          <t>Actif</t>
        </is>
      </c>
      <c r="K10" s="60" t="inlineStr">
        <is>
          <t>Basse</t>
        </is>
      </c>
      <c r="L10" s="68" t="n">
        <v>45990</v>
      </c>
      <c r="M10" s="68" t="n">
        <v>46150</v>
      </c>
      <c r="N10" s="68" t="n">
        <v>46166</v>
      </c>
      <c r="O10" s="62" t="n">
        <v>22500</v>
      </c>
      <c r="P10" s="62" t="n">
        <v>19000</v>
      </c>
      <c r="Q10" s="61" t="n">
        <v>4</v>
      </c>
      <c r="R10" s="69">
        <f>IF(M10="","",TODAY()-M10)</f>
        <v/>
      </c>
      <c r="S10" s="69">
        <f>IF(N10="","",IF(N10&lt;TODAY(),"⚠ En retard",IF(N10&lt;=TODAY()+7,"◕ Bientôt","✓ OK")))</f>
        <v/>
      </c>
    </row>
    <row r="11">
      <c r="A11" s="67">
        <f>IF(B11="","",TEXT(ROW()-3,"000"))</f>
        <v/>
      </c>
      <c r="B11" s="70" t="inlineStr">
        <is>
          <t>Cirrus Partners</t>
        </is>
      </c>
      <c r="C11" s="70" t="inlineStr">
        <is>
          <t>Alice Muller</t>
        </is>
      </c>
      <c r="D11" s="70" t="inlineStr">
        <is>
          <t>contact@cirrus.fr</t>
        </is>
      </c>
      <c r="E11" s="70" t="inlineStr">
        <is>
          <t>05 74 32 74 23</t>
        </is>
      </c>
      <c r="F11" s="70" t="inlineStr">
        <is>
          <t>TPE</t>
        </is>
      </c>
      <c r="G11" s="70" t="inlineStr">
        <is>
          <t>Retail</t>
        </is>
      </c>
      <c r="H11" s="70" t="inlineStr">
        <is>
          <t>Occitanie</t>
        </is>
      </c>
      <c r="I11" s="70" t="inlineStr">
        <is>
          <t>Léa Dubois</t>
        </is>
      </c>
      <c r="J11" s="70" t="inlineStr">
        <is>
          <t>Inactif</t>
        </is>
      </c>
      <c r="K11" s="70" t="inlineStr">
        <is>
          <t>Moyenne</t>
        </is>
      </c>
      <c r="L11" s="71" t="n">
        <v>45674</v>
      </c>
      <c r="M11" s="71" t="n">
        <v>46123</v>
      </c>
      <c r="N11" s="71" t="n">
        <v>46152</v>
      </c>
      <c r="O11" s="72" t="n">
        <v>13500</v>
      </c>
      <c r="P11" s="72" t="n">
        <v>10000</v>
      </c>
      <c r="Q11" s="73" t="n">
        <v>5</v>
      </c>
      <c r="R11" s="69">
        <f>IF(M11="","",TODAY()-M11)</f>
        <v/>
      </c>
      <c r="S11" s="69">
        <f>IF(N11="","",IF(N11&lt;TODAY(),"⚠ En retard",IF(N11&lt;=TODAY()+7,"◕ Bientôt","✓ OK")))</f>
        <v/>
      </c>
    </row>
    <row r="12">
      <c r="A12" s="67">
        <f>IF(B12="","",TEXT(ROW()-3,"000"))</f>
        <v/>
      </c>
      <c r="B12" s="60" t="inlineStr">
        <is>
          <t>Brasserie Mobilier</t>
        </is>
      </c>
      <c r="C12" s="60" t="inlineStr">
        <is>
          <t>Agnès Marchand</t>
        </is>
      </c>
      <c r="D12" s="60" t="inlineStr">
        <is>
          <t>contact@brasserie.fr</t>
        </is>
      </c>
      <c r="E12" s="60" t="inlineStr">
        <is>
          <t>01 24 56 49 40</t>
        </is>
      </c>
      <c r="F12" s="60" t="inlineStr">
        <is>
          <t>Grand Compte</t>
        </is>
      </c>
      <c r="G12" s="60" t="inlineStr">
        <is>
          <t>BTP</t>
        </is>
      </c>
      <c r="H12" s="60" t="inlineStr">
        <is>
          <t>Auvergne-Rhône-Alpes</t>
        </is>
      </c>
      <c r="I12" s="60" t="inlineStr">
        <is>
          <t>Nadia Cohen</t>
        </is>
      </c>
      <c r="J12" s="60" t="inlineStr">
        <is>
          <t>Perdu</t>
        </is>
      </c>
      <c r="K12" s="60" t="inlineStr">
        <is>
          <t>Haute</t>
        </is>
      </c>
      <c r="L12" s="68" t="n">
        <v>46070</v>
      </c>
      <c r="M12" s="68" t="n">
        <v>46114</v>
      </c>
      <c r="N12" s="68" t="n">
        <v>46117</v>
      </c>
      <c r="O12" s="62" t="n">
        <v>113000</v>
      </c>
      <c r="P12" s="62" t="n">
        <v>0</v>
      </c>
      <c r="Q12" s="61" t="n">
        <v>1</v>
      </c>
      <c r="R12" s="69">
        <f>IF(M12="","",TODAY()-M12)</f>
        <v/>
      </c>
      <c r="S12" s="69">
        <f>IF(N12="","",IF(N12&lt;TODAY(),"⚠ En retard",IF(N12&lt;=TODAY()+7,"◕ Bientôt","✓ OK")))</f>
        <v/>
      </c>
    </row>
    <row r="13">
      <c r="A13" s="67">
        <f>IF(B13="","",TEXT(ROW()-3,"000"))</f>
        <v/>
      </c>
      <c r="B13" s="70" t="inlineStr">
        <is>
          <t>Onyx Conseil</t>
        </is>
      </c>
      <c r="C13" s="70" t="inlineStr">
        <is>
          <t>Fatou Meyer</t>
        </is>
      </c>
      <c r="D13" s="70" t="inlineStr">
        <is>
          <t>contact@onyx.fr</t>
        </is>
      </c>
      <c r="E13" s="70" t="inlineStr">
        <is>
          <t>07 37 79 98 35</t>
        </is>
      </c>
      <c r="F13" s="70" t="inlineStr">
        <is>
          <t>TPE</t>
        </is>
      </c>
      <c r="G13" s="70" t="inlineStr">
        <is>
          <t>BTP</t>
        </is>
      </c>
      <c r="H13" s="70" t="inlineStr">
        <is>
          <t>Bretagne</t>
        </is>
      </c>
      <c r="I13" s="70" t="inlineStr">
        <is>
          <t>Thomas Petit</t>
        </is>
      </c>
      <c r="J13" s="70" t="inlineStr">
        <is>
          <t>Perdu</t>
        </is>
      </c>
      <c r="K13" s="70" t="inlineStr">
        <is>
          <t>Moyenne</t>
        </is>
      </c>
      <c r="L13" s="71" t="n">
        <v>45415</v>
      </c>
      <c r="M13" s="71" t="n">
        <v>46145</v>
      </c>
      <c r="N13" s="71" t="n">
        <v>46154</v>
      </c>
      <c r="O13" s="72" t="n">
        <v>5500</v>
      </c>
      <c r="P13" s="72" t="n">
        <v>0</v>
      </c>
      <c r="Q13" s="73" t="n">
        <v>1</v>
      </c>
      <c r="R13" s="69">
        <f>IF(M13="","",TODAY()-M13)</f>
        <v/>
      </c>
      <c r="S13" s="69">
        <f>IF(N13="","",IF(N13&lt;TODAY(),"⚠ En retard",IF(N13&lt;=TODAY()+7,"◕ Bientôt","✓ OK")))</f>
        <v/>
      </c>
    </row>
    <row r="14">
      <c r="A14" s="67">
        <f>IF(B14="","",TEXT(ROW()-3,"000"))</f>
        <v/>
      </c>
      <c r="B14" s="60" t="inlineStr">
        <is>
          <t>Lumen Mobilier</t>
        </is>
      </c>
      <c r="C14" s="60" t="inlineStr">
        <is>
          <t>Léo Nkemba</t>
        </is>
      </c>
      <c r="D14" s="60" t="inlineStr">
        <is>
          <t>contact@lumen.fr</t>
        </is>
      </c>
      <c r="E14" s="60" t="inlineStr">
        <is>
          <t>04 10 19 90 17</t>
        </is>
      </c>
      <c r="F14" s="60" t="inlineStr">
        <is>
          <t>PME</t>
        </is>
      </c>
      <c r="G14" s="60" t="inlineStr">
        <is>
          <t>Retail</t>
        </is>
      </c>
      <c r="H14" s="60" t="inlineStr">
        <is>
          <t>Nouvelle-Aquitaine</t>
        </is>
      </c>
      <c r="I14" s="60" t="inlineStr">
        <is>
          <t>Sophie Martin</t>
        </is>
      </c>
      <c r="J14" s="60" t="inlineStr">
        <is>
          <t>Inactif</t>
        </is>
      </c>
      <c r="K14" s="60" t="inlineStr">
        <is>
          <t>Haute</t>
        </is>
      </c>
      <c r="L14" s="68" t="n">
        <v>45977</v>
      </c>
      <c r="M14" s="68" t="n">
        <v>46206</v>
      </c>
      <c r="N14" s="68" t="n">
        <v>46214</v>
      </c>
      <c r="O14" s="62" t="n">
        <v>36000</v>
      </c>
      <c r="P14" s="62" t="n">
        <v>23500</v>
      </c>
      <c r="Q14" s="61" t="n">
        <v>5</v>
      </c>
      <c r="R14" s="69">
        <f>IF(M14="","",TODAY()-M14)</f>
        <v/>
      </c>
      <c r="S14" s="69">
        <f>IF(N14="","",IF(N14&lt;TODAY(),"⚠ En retard",IF(N14&lt;=TODAY()+7,"◕ Bientôt","✓ OK")))</f>
        <v/>
      </c>
    </row>
    <row r="15">
      <c r="A15" s="67">
        <f>IF(B15="","",TEXT(ROW()-3,"000"))</f>
        <v/>
      </c>
      <c r="B15" s="70" t="inlineStr">
        <is>
          <t>Pixel Mobilier</t>
        </is>
      </c>
      <c r="C15" s="70" t="inlineStr">
        <is>
          <t>Antoine Nkemba</t>
        </is>
      </c>
      <c r="D15" s="70" t="inlineStr">
        <is>
          <t>contact@pixel.fr</t>
        </is>
      </c>
      <c r="E15" s="70" t="inlineStr">
        <is>
          <t>08 62 34 22 22</t>
        </is>
      </c>
      <c r="F15" s="70" t="inlineStr">
        <is>
          <t>TPE</t>
        </is>
      </c>
      <c r="G15" s="70" t="inlineStr">
        <is>
          <t>Tech</t>
        </is>
      </c>
      <c r="H15" s="70" t="inlineStr">
        <is>
          <t>Auvergne-Rhône-Alpes</t>
        </is>
      </c>
      <c r="I15" s="70" t="inlineStr">
        <is>
          <t>Léa Dubois</t>
        </is>
      </c>
      <c r="J15" s="70" t="inlineStr">
        <is>
          <t>Actif</t>
        </is>
      </c>
      <c r="K15" s="70" t="inlineStr">
        <is>
          <t>Moyenne</t>
        </is>
      </c>
      <c r="L15" s="71" t="n">
        <v>45354</v>
      </c>
      <c r="M15" s="71" t="n">
        <v>46185</v>
      </c>
      <c r="N15" s="71" t="n">
        <v>46201</v>
      </c>
      <c r="O15" s="72" t="n">
        <v>12500</v>
      </c>
      <c r="P15" s="72" t="n">
        <v>9000</v>
      </c>
      <c r="Q15" s="73" t="n">
        <v>3</v>
      </c>
      <c r="R15" s="69">
        <f>IF(M15="","",TODAY()-M15)</f>
        <v/>
      </c>
      <c r="S15" s="69">
        <f>IF(N15="","",IF(N15&lt;TODAY(),"⚠ En retard",IF(N15&lt;=TODAY()+7,"◕ Bientôt","✓ OK")))</f>
        <v/>
      </c>
    </row>
    <row r="16">
      <c r="A16" s="67">
        <f>IF(B16="","",TEXT(ROW()-3,"000"))</f>
        <v/>
      </c>
      <c r="B16" s="60" t="inlineStr">
        <is>
          <t>Aurora Santé</t>
        </is>
      </c>
      <c r="C16" s="60" t="inlineStr">
        <is>
          <t>Nadia Roy</t>
        </is>
      </c>
      <c r="D16" s="60" t="inlineStr">
        <is>
          <t>contact@aurora.fr</t>
        </is>
      </c>
      <c r="E16" s="60" t="inlineStr">
        <is>
          <t>07 33 45 69 41</t>
        </is>
      </c>
      <c r="F16" s="60" t="inlineStr">
        <is>
          <t>TPE</t>
        </is>
      </c>
      <c r="G16" s="60" t="inlineStr">
        <is>
          <t>Industrie</t>
        </is>
      </c>
      <c r="H16" s="60" t="inlineStr">
        <is>
          <t>Île-de-France</t>
        </is>
      </c>
      <c r="I16" s="60" t="inlineStr">
        <is>
          <t>Sophie Martin</t>
        </is>
      </c>
      <c r="J16" s="60" t="inlineStr">
        <is>
          <t>Actif</t>
        </is>
      </c>
      <c r="K16" s="60" t="inlineStr">
        <is>
          <t>Basse</t>
        </is>
      </c>
      <c r="L16" s="68" t="n">
        <v>45959</v>
      </c>
      <c r="M16" s="68" t="n">
        <v>46085</v>
      </c>
      <c r="N16" s="68" t="n">
        <v>46085</v>
      </c>
      <c r="O16" s="62" t="n">
        <v>13500</v>
      </c>
      <c r="P16" s="62" t="n">
        <v>13000</v>
      </c>
      <c r="Q16" s="61" t="n">
        <v>2</v>
      </c>
      <c r="R16" s="69">
        <f>IF(M16="","",TODAY()-M16)</f>
        <v/>
      </c>
      <c r="S16" s="69">
        <f>IF(N16="","",IF(N16&lt;TODAY(),"⚠ En retard",IF(N16&lt;=TODAY()+7,"◕ Bientôt","✓ OK")))</f>
        <v/>
      </c>
    </row>
    <row r="17">
      <c r="A17" s="67">
        <f>IF(B17="","",TEXT(ROW()-3,"000"))</f>
        <v/>
      </c>
      <c r="B17" s="70" t="inlineStr">
        <is>
          <t>Borealis Studio</t>
        </is>
      </c>
      <c r="C17" s="70" t="inlineStr">
        <is>
          <t>Antoine Vasseur</t>
        </is>
      </c>
      <c r="D17" s="70" t="inlineStr">
        <is>
          <t>contact@borealis.fr</t>
        </is>
      </c>
      <c r="E17" s="70" t="inlineStr">
        <is>
          <t>07 17 31 58 10</t>
        </is>
      </c>
      <c r="F17" s="70" t="inlineStr">
        <is>
          <t>Particulier</t>
        </is>
      </c>
      <c r="G17" s="70" t="inlineStr">
        <is>
          <t>Services</t>
        </is>
      </c>
      <c r="H17" s="70" t="inlineStr">
        <is>
          <t>Grand Est</t>
        </is>
      </c>
      <c r="I17" s="70" t="inlineStr">
        <is>
          <t>Léa Dubois</t>
        </is>
      </c>
      <c r="J17" s="70" t="inlineStr">
        <is>
          <t>Perdu</t>
        </is>
      </c>
      <c r="K17" s="70" t="inlineStr">
        <is>
          <t>Basse</t>
        </is>
      </c>
      <c r="L17" s="71" t="n">
        <v>46005</v>
      </c>
      <c r="M17" s="71" t="n">
        <v>46206</v>
      </c>
      <c r="N17" s="71" t="n">
        <v>46210</v>
      </c>
      <c r="O17" s="72" t="n">
        <v>2500</v>
      </c>
      <c r="P17" s="72" t="n">
        <v>0</v>
      </c>
      <c r="Q17" s="73" t="n">
        <v>1</v>
      </c>
      <c r="R17" s="69">
        <f>IF(M17="","",TODAY()-M17)</f>
        <v/>
      </c>
      <c r="S17" s="69">
        <f>IF(N17="","",IF(N17&lt;TODAY(),"⚠ En retard",IF(N17&lt;=TODAY()+7,"◕ Bientôt","✓ OK")))</f>
        <v/>
      </c>
    </row>
    <row r="18">
      <c r="A18" s="67">
        <f>IF(B18="","",TEXT(ROW()-3,"000"))</f>
        <v/>
      </c>
      <c r="B18" s="60" t="inlineStr">
        <is>
          <t>Céleste SAS</t>
        </is>
      </c>
      <c r="C18" s="60" t="inlineStr">
        <is>
          <t>Chloé Muller</t>
        </is>
      </c>
      <c r="D18" s="60" t="inlineStr">
        <is>
          <t>contact@celeste.fr</t>
        </is>
      </c>
      <c r="E18" s="60" t="inlineStr">
        <is>
          <t>09 17 50 17 16</t>
        </is>
      </c>
      <c r="F18" s="60" t="inlineStr">
        <is>
          <t>PME</t>
        </is>
      </c>
      <c r="G18" s="60" t="inlineStr">
        <is>
          <t>Tech</t>
        </is>
      </c>
      <c r="H18" s="60" t="inlineStr">
        <is>
          <t>Auvergne-Rhône-Alpes</t>
        </is>
      </c>
      <c r="I18" s="60" t="inlineStr">
        <is>
          <t>Nadia Cohen</t>
        </is>
      </c>
      <c r="J18" s="60" t="inlineStr">
        <is>
          <t>Perdu</t>
        </is>
      </c>
      <c r="K18" s="60" t="inlineStr">
        <is>
          <t>Moyenne</t>
        </is>
      </c>
      <c r="L18" s="68" t="n">
        <v>46163</v>
      </c>
      <c r="M18" s="68" t="n">
        <v>46129</v>
      </c>
      <c r="N18" s="68" t="n">
        <v>46128</v>
      </c>
      <c r="O18" s="62" t="n">
        <v>38000</v>
      </c>
      <c r="P18" s="62" t="n">
        <v>0</v>
      </c>
      <c r="Q18" s="61" t="n">
        <v>1</v>
      </c>
      <c r="R18" s="69">
        <f>IF(M18="","",TODAY()-M18)</f>
        <v/>
      </c>
      <c r="S18" s="69">
        <f>IF(N18="","",IF(N18&lt;TODAY(),"⚠ En retard",IF(N18&lt;=TODAY()+7,"◕ Bientôt","✓ OK")))</f>
        <v/>
      </c>
    </row>
    <row r="19">
      <c r="A19" s="67">
        <f>IF(B19="","",TEXT(ROW()-3,"000"))</f>
        <v/>
      </c>
      <c r="B19" s="70" t="inlineStr">
        <is>
          <t>Delphine &amp; Associés</t>
        </is>
      </c>
      <c r="C19" s="70" t="inlineStr">
        <is>
          <t>Paul Lopez</t>
        </is>
      </c>
      <c r="D19" s="70" t="inlineStr">
        <is>
          <t>contact@delphine.fr</t>
        </is>
      </c>
      <c r="E19" s="70" t="inlineStr">
        <is>
          <t>04 84 86 15 89</t>
        </is>
      </c>
      <c r="F19" s="70" t="inlineStr">
        <is>
          <t>Grand Compte</t>
        </is>
      </c>
      <c r="G19" s="70" t="inlineStr">
        <is>
          <t>Services</t>
        </is>
      </c>
      <c r="H19" s="70" t="inlineStr">
        <is>
          <t>Hauts-de-France</t>
        </is>
      </c>
      <c r="I19" s="70" t="inlineStr">
        <is>
          <t>Nadia Cohen</t>
        </is>
      </c>
      <c r="J19" s="70" t="inlineStr">
        <is>
          <t>Actif</t>
        </is>
      </c>
      <c r="K19" s="70" t="inlineStr">
        <is>
          <t>Moyenne</t>
        </is>
      </c>
      <c r="L19" s="71" t="n">
        <v>45977</v>
      </c>
      <c r="M19" s="71" t="n">
        <v>46162</v>
      </c>
      <c r="N19" s="71" t="n">
        <v>46172</v>
      </c>
      <c r="O19" s="72" t="n">
        <v>77500</v>
      </c>
      <c r="P19" s="72" t="n">
        <v>57500</v>
      </c>
      <c r="Q19" s="73" t="n">
        <v>4</v>
      </c>
      <c r="R19" s="69">
        <f>IF(M19="","",TODAY()-M19)</f>
        <v/>
      </c>
      <c r="S19" s="69">
        <f>IF(N19="","",IF(N19&lt;TODAY(),"⚠ En retard",IF(N19&lt;=TODAY()+7,"◕ Bientôt","✓ OK")))</f>
        <v/>
      </c>
    </row>
    <row r="20">
      <c r="A20" s="67">
        <f>IF(B20="","",TEXT(ROW()-3,"000"))</f>
        <v/>
      </c>
      <c r="B20" s="60" t="inlineStr">
        <is>
          <t>Équinoxe Studio</t>
        </is>
      </c>
      <c r="C20" s="60" t="inlineStr">
        <is>
          <t>Agnès Henry</t>
        </is>
      </c>
      <c r="D20" s="60" t="inlineStr">
        <is>
          <t>contact@equinoxe.fr</t>
        </is>
      </c>
      <c r="E20" s="60" t="inlineStr">
        <is>
          <t>02 11 68 89 82</t>
        </is>
      </c>
      <c r="F20" s="60" t="inlineStr">
        <is>
          <t>Particulier</t>
        </is>
      </c>
      <c r="G20" s="60" t="inlineStr">
        <is>
          <t>Santé</t>
        </is>
      </c>
      <c r="H20" s="60" t="inlineStr">
        <is>
          <t>PACA</t>
        </is>
      </c>
      <c r="I20" s="60" t="inlineStr">
        <is>
          <t>Sophie Martin</t>
        </is>
      </c>
      <c r="J20" s="60" t="inlineStr">
        <is>
          <t>Actif</t>
        </is>
      </c>
      <c r="K20" s="60" t="inlineStr">
        <is>
          <t>Moyenne</t>
        </is>
      </c>
      <c r="L20" s="68" t="n">
        <v>45362</v>
      </c>
      <c r="M20" s="68" t="n">
        <v>46144</v>
      </c>
      <c r="N20" s="68" t="n">
        <v>46162</v>
      </c>
      <c r="O20" s="62" t="n">
        <v>3000</v>
      </c>
      <c r="P20" s="62" t="n">
        <v>2500</v>
      </c>
      <c r="Q20" s="61" t="n">
        <v>4</v>
      </c>
      <c r="R20" s="69">
        <f>IF(M20="","",TODAY()-M20)</f>
        <v/>
      </c>
      <c r="S20" s="69">
        <f>IF(N20="","",IF(N20&lt;TODAY(),"⚠ En retard",IF(N20&lt;=TODAY()+7,"◕ Bientôt","✓ OK")))</f>
        <v/>
      </c>
    </row>
    <row r="21">
      <c r="A21" s="67">
        <f>IF(B21="","",TEXT(ROW()-3,"000"))</f>
        <v/>
      </c>
      <c r="B21" s="70" t="inlineStr">
        <is>
          <t>Falcon Conseil</t>
        </is>
      </c>
      <c r="C21" s="70" t="inlineStr">
        <is>
          <t>Malik Perrot</t>
        </is>
      </c>
      <c r="D21" s="70" t="inlineStr">
        <is>
          <t>contact@falcon.fr</t>
        </is>
      </c>
      <c r="E21" s="70" t="inlineStr">
        <is>
          <t>09 11 95 80 48</t>
        </is>
      </c>
      <c r="F21" s="70" t="inlineStr">
        <is>
          <t>Particulier</t>
        </is>
      </c>
      <c r="G21" s="70" t="inlineStr">
        <is>
          <t>Industrie</t>
        </is>
      </c>
      <c r="H21" s="70" t="inlineStr">
        <is>
          <t>Auvergne-Rhône-Alpes</t>
        </is>
      </c>
      <c r="I21" s="70" t="inlineStr">
        <is>
          <t>Sophie Martin</t>
        </is>
      </c>
      <c r="J21" s="70" t="inlineStr">
        <is>
          <t>Perdu</t>
        </is>
      </c>
      <c r="K21" s="70" t="inlineStr">
        <is>
          <t>Haute</t>
        </is>
      </c>
      <c r="L21" s="71" t="n">
        <v>46052</v>
      </c>
      <c r="M21" s="71" t="n">
        <v>46121</v>
      </c>
      <c r="N21" s="71" t="n">
        <v>46133</v>
      </c>
      <c r="O21" s="72" t="n">
        <v>3000</v>
      </c>
      <c r="P21" s="72" t="n">
        <v>0</v>
      </c>
      <c r="Q21" s="73" t="n">
        <v>1</v>
      </c>
      <c r="R21" s="69">
        <f>IF(M21="","",TODAY()-M21)</f>
        <v/>
      </c>
      <c r="S21" s="69">
        <f>IF(N21="","",IF(N21&lt;TODAY(),"⚠ En retard",IF(N21&lt;=TODAY()+7,"◕ Bientôt","✓ OK")))</f>
        <v/>
      </c>
    </row>
    <row r="22">
      <c r="A22" s="67">
        <f>IF(B22="","",TEXT(ROW()-3,"000"))</f>
        <v/>
      </c>
      <c r="B22" s="60" t="inlineStr">
        <is>
          <t>Galion Partners</t>
        </is>
      </c>
      <c r="C22" s="60" t="inlineStr">
        <is>
          <t>Agnès Vasseur</t>
        </is>
      </c>
      <c r="D22" s="60" t="inlineStr">
        <is>
          <t>contact@galion.fr</t>
        </is>
      </c>
      <c r="E22" s="60" t="inlineStr">
        <is>
          <t>05 74 72 42 16</t>
        </is>
      </c>
      <c r="F22" s="60" t="inlineStr">
        <is>
          <t>Grand Compte</t>
        </is>
      </c>
      <c r="G22" s="60" t="inlineStr">
        <is>
          <t>Média</t>
        </is>
      </c>
      <c r="H22" s="60" t="inlineStr">
        <is>
          <t>Occitanie</t>
        </is>
      </c>
      <c r="I22" s="60" t="inlineStr">
        <is>
          <t>Thomas Petit</t>
        </is>
      </c>
      <c r="J22" s="60" t="inlineStr">
        <is>
          <t>Inactif</t>
        </is>
      </c>
      <c r="K22" s="60" t="inlineStr">
        <is>
          <t>Haute</t>
        </is>
      </c>
      <c r="L22" s="68" t="n">
        <v>45944</v>
      </c>
      <c r="M22" s="68" t="n">
        <v>46149</v>
      </c>
      <c r="N22" s="68" t="n">
        <v>46154</v>
      </c>
      <c r="O22" s="62" t="n">
        <v>120500</v>
      </c>
      <c r="P22" s="62" t="n">
        <v>69000</v>
      </c>
      <c r="Q22" s="61" t="n">
        <v>4</v>
      </c>
      <c r="R22" s="69">
        <f>IF(M22="","",TODAY()-M22)</f>
        <v/>
      </c>
      <c r="S22" s="69">
        <f>IF(N22="","",IF(N22&lt;TODAY(),"⚠ En retard",IF(N22&lt;=TODAY()+7,"◕ Bientôt","✓ OK")))</f>
        <v/>
      </c>
    </row>
    <row r="23">
      <c r="A23" s="67">
        <f>IF(B23="","",TEXT(ROW()-3,"000"))</f>
        <v/>
      </c>
      <c r="B23" s="70" t="inlineStr">
        <is>
          <t>Horizon SAS</t>
        </is>
      </c>
      <c r="C23" s="70" t="inlineStr">
        <is>
          <t>Paul Fabre</t>
        </is>
      </c>
      <c r="D23" s="70" t="inlineStr">
        <is>
          <t>contact@horizon.fr</t>
        </is>
      </c>
      <c r="E23" s="70" t="inlineStr">
        <is>
          <t>03 79 14 57 84</t>
        </is>
      </c>
      <c r="F23" s="70" t="inlineStr">
        <is>
          <t>PME</t>
        </is>
      </c>
      <c r="G23" s="70" t="inlineStr">
        <is>
          <t>Tech</t>
        </is>
      </c>
      <c r="H23" s="70" t="inlineStr">
        <is>
          <t>PACA</t>
        </is>
      </c>
      <c r="I23" s="70" t="inlineStr">
        <is>
          <t>Thomas Petit</t>
        </is>
      </c>
      <c r="J23" s="70" t="inlineStr">
        <is>
          <t>Prospect</t>
        </is>
      </c>
      <c r="K23" s="70" t="inlineStr">
        <is>
          <t>Moyenne</t>
        </is>
      </c>
      <c r="L23" s="71" t="n">
        <v>45507</v>
      </c>
      <c r="M23" s="71" t="n">
        <v>46145</v>
      </c>
      <c r="N23" s="71" t="n">
        <v>46146</v>
      </c>
      <c r="O23" s="72" t="n">
        <v>30500</v>
      </c>
      <c r="P23" s="72" t="n">
        <v>0</v>
      </c>
      <c r="Q23" s="73" t="n">
        <v>4</v>
      </c>
      <c r="R23" s="69">
        <f>IF(M23="","",TODAY()-M23)</f>
        <v/>
      </c>
      <c r="S23" s="69">
        <f>IF(N23="","",IF(N23&lt;TODAY(),"⚠ En retard",IF(N23&lt;=TODAY()+7,"◕ Bientôt","✓ OK")))</f>
        <v/>
      </c>
    </row>
    <row r="24">
      <c r="A24" s="67">
        <f>IF(B24="","",TEXT(ROW()-3,"000"))</f>
        <v/>
      </c>
      <c r="B24" s="60" t="inlineStr">
        <is>
          <t>Isatis Lab</t>
        </is>
      </c>
      <c r="C24" s="60" t="inlineStr">
        <is>
          <t>Hugo Nguyen</t>
        </is>
      </c>
      <c r="D24" s="60" t="inlineStr">
        <is>
          <t>contact@isatis.fr</t>
        </is>
      </c>
      <c r="E24" s="60" t="inlineStr">
        <is>
          <t>03 40 30 32 62</t>
        </is>
      </c>
      <c r="F24" s="60" t="inlineStr">
        <is>
          <t>Grand Compte</t>
        </is>
      </c>
      <c r="G24" s="60" t="inlineStr">
        <is>
          <t>Retail</t>
        </is>
      </c>
      <c r="H24" s="60" t="inlineStr">
        <is>
          <t>Nouvelle-Aquitaine</t>
        </is>
      </c>
      <c r="I24" s="60" t="inlineStr">
        <is>
          <t>Léa Dubois</t>
        </is>
      </c>
      <c r="J24" s="60" t="inlineStr">
        <is>
          <t>En négociation</t>
        </is>
      </c>
      <c r="K24" s="60" t="inlineStr">
        <is>
          <t>Moyenne</t>
        </is>
      </c>
      <c r="L24" s="68" t="n">
        <v>45455</v>
      </c>
      <c r="M24" s="68" t="n">
        <v>46109</v>
      </c>
      <c r="N24" s="68" t="n">
        <v>46128</v>
      </c>
      <c r="O24" s="62" t="n">
        <v>132000</v>
      </c>
      <c r="P24" s="62" t="n">
        <v>0</v>
      </c>
      <c r="Q24" s="61" t="n">
        <v>5</v>
      </c>
      <c r="R24" s="69">
        <f>IF(M24="","",TODAY()-M24)</f>
        <v/>
      </c>
      <c r="S24" s="69">
        <f>IF(N24="","",IF(N24&lt;TODAY(),"⚠ En retard",IF(N24&lt;=TODAY()+7,"◕ Bientôt","✓ OK")))</f>
        <v/>
      </c>
    </row>
    <row r="25">
      <c r="A25" s="67">
        <f>IF(B25="","",TEXT(ROW()-3,"000"))</f>
        <v/>
      </c>
      <c r="B25" s="70" t="inlineStr">
        <is>
          <t>Jasper Tech</t>
        </is>
      </c>
      <c r="C25" s="70" t="inlineStr">
        <is>
          <t>Éléonore Simon</t>
        </is>
      </c>
      <c r="D25" s="70" t="inlineStr">
        <is>
          <t>contact@jasper.fr</t>
        </is>
      </c>
      <c r="E25" s="70" t="inlineStr">
        <is>
          <t>08 54 49 39 38</t>
        </is>
      </c>
      <c r="F25" s="70" t="inlineStr">
        <is>
          <t>Grand Compte</t>
        </is>
      </c>
      <c r="G25" s="70" t="inlineStr">
        <is>
          <t>Industrie</t>
        </is>
      </c>
      <c r="H25" s="70" t="inlineStr">
        <is>
          <t>Nouvelle-Aquitaine</t>
        </is>
      </c>
      <c r="I25" s="70" t="inlineStr">
        <is>
          <t>Karim Benali</t>
        </is>
      </c>
      <c r="J25" s="70" t="inlineStr">
        <is>
          <t>Actif</t>
        </is>
      </c>
      <c r="K25" s="70" t="inlineStr">
        <is>
          <t>Haute</t>
        </is>
      </c>
      <c r="L25" s="71" t="n">
        <v>45651</v>
      </c>
      <c r="M25" s="71" t="n">
        <v>46184</v>
      </c>
      <c r="N25" s="71" t="n">
        <v>46213</v>
      </c>
      <c r="O25" s="72" t="n">
        <v>83500</v>
      </c>
      <c r="P25" s="72" t="n">
        <v>59000</v>
      </c>
      <c r="Q25" s="73" t="n">
        <v>5</v>
      </c>
      <c r="R25" s="69">
        <f>IF(M25="","",TODAY()-M25)</f>
        <v/>
      </c>
      <c r="S25" s="69">
        <f>IF(N25="","",IF(N25&lt;TODAY(),"⚠ En retard",IF(N25&lt;=TODAY()+7,"◕ Bientôt","✓ OK")))</f>
        <v/>
      </c>
    </row>
    <row r="26">
      <c r="A26" s="67">
        <f>IF(B26="","",TEXT(ROW()-3,"000"))</f>
        <v/>
      </c>
      <c r="B26" s="60" t="inlineStr">
        <is>
          <t>Krypton Conseil</t>
        </is>
      </c>
      <c r="C26" s="60" t="inlineStr">
        <is>
          <t>Yanis Petit</t>
        </is>
      </c>
      <c r="D26" s="60" t="inlineStr">
        <is>
          <t>contact@krypton.fr</t>
        </is>
      </c>
      <c r="E26" s="60" t="inlineStr">
        <is>
          <t>05 14 23 86 65</t>
        </is>
      </c>
      <c r="F26" s="60" t="inlineStr">
        <is>
          <t>PME</t>
        </is>
      </c>
      <c r="G26" s="60" t="inlineStr">
        <is>
          <t>Industrie</t>
        </is>
      </c>
      <c r="H26" s="60" t="inlineStr">
        <is>
          <t>Grand Est</t>
        </is>
      </c>
      <c r="I26" s="60" t="inlineStr">
        <is>
          <t>Léa Dubois</t>
        </is>
      </c>
      <c r="J26" s="60" t="inlineStr">
        <is>
          <t>Actif</t>
        </is>
      </c>
      <c r="K26" s="60" t="inlineStr">
        <is>
          <t>Basse</t>
        </is>
      </c>
      <c r="L26" s="68" t="n">
        <v>45882</v>
      </c>
      <c r="M26" s="68" t="n">
        <v>46130</v>
      </c>
      <c r="N26" s="68" t="n">
        <v>46141</v>
      </c>
      <c r="O26" s="62" t="n">
        <v>20500</v>
      </c>
      <c r="P26" s="62" t="n">
        <v>17000</v>
      </c>
      <c r="Q26" s="61" t="n">
        <v>4</v>
      </c>
      <c r="R26" s="69">
        <f>IF(M26="","",TODAY()-M26)</f>
        <v/>
      </c>
      <c r="S26" s="69">
        <f>IF(N26="","",IF(N26&lt;TODAY(),"⚠ En retard",IF(N26&lt;=TODAY()+7,"◕ Bientôt","✓ OK")))</f>
        <v/>
      </c>
    </row>
    <row r="27">
      <c r="A27" s="67">
        <f>IF(B27="","",TEXT(ROW()-3,"000"))</f>
        <v/>
      </c>
      <c r="B27" s="70" t="inlineStr">
        <is>
          <t>Lynx Systems</t>
        </is>
      </c>
      <c r="C27" s="70" t="inlineStr">
        <is>
          <t>Léo Blanc</t>
        </is>
      </c>
      <c r="D27" s="70" t="inlineStr">
        <is>
          <t>contact@lynx.fr</t>
        </is>
      </c>
      <c r="E27" s="70" t="inlineStr">
        <is>
          <t>04 56 65 18 95</t>
        </is>
      </c>
      <c r="F27" s="70" t="inlineStr">
        <is>
          <t>Particulier</t>
        </is>
      </c>
      <c r="G27" s="70" t="inlineStr">
        <is>
          <t>Services</t>
        </is>
      </c>
      <c r="H27" s="70" t="inlineStr">
        <is>
          <t>Nouvelle-Aquitaine</t>
        </is>
      </c>
      <c r="I27" s="70" t="inlineStr">
        <is>
          <t>Nadia Cohen</t>
        </is>
      </c>
      <c r="J27" s="70" t="inlineStr">
        <is>
          <t>Actif</t>
        </is>
      </c>
      <c r="K27" s="70" t="inlineStr">
        <is>
          <t>Basse</t>
        </is>
      </c>
      <c r="L27" s="71" t="n">
        <v>45974</v>
      </c>
      <c r="M27" s="71" t="n">
        <v>46186</v>
      </c>
      <c r="N27" s="71" t="n">
        <v>46201</v>
      </c>
      <c r="O27" s="72" t="n">
        <v>3500</v>
      </c>
      <c r="P27" s="72" t="n">
        <v>2500</v>
      </c>
      <c r="Q27" s="73" t="n">
        <v>2</v>
      </c>
      <c r="R27" s="69">
        <f>IF(M27="","",TODAY()-M27)</f>
        <v/>
      </c>
      <c r="S27" s="69">
        <f>IF(N27="","",IF(N27&lt;TODAY(),"⚠ En retard",IF(N27&lt;=TODAY()+7,"◕ Bientôt","✓ OK")))</f>
        <v/>
      </c>
    </row>
    <row r="28">
      <c r="A28" s="67">
        <f>IF(B28="","",TEXT(ROW()-3,"000"))</f>
        <v/>
      </c>
      <c r="B28" s="60" t="inlineStr">
        <is>
          <t>Méridien &amp; Associés</t>
        </is>
      </c>
      <c r="C28" s="60" t="inlineStr">
        <is>
          <t>Nathan Benali</t>
        </is>
      </c>
      <c r="D28" s="60" t="inlineStr">
        <is>
          <t>contact@meridien.fr</t>
        </is>
      </c>
      <c r="E28" s="60" t="inlineStr">
        <is>
          <t>03 88 82 48 61</t>
        </is>
      </c>
      <c r="F28" s="60" t="inlineStr">
        <is>
          <t>PME</t>
        </is>
      </c>
      <c r="G28" s="60" t="inlineStr">
        <is>
          <t>Média</t>
        </is>
      </c>
      <c r="H28" s="60" t="inlineStr">
        <is>
          <t>Bretagne</t>
        </is>
      </c>
      <c r="I28" s="60" t="inlineStr">
        <is>
          <t>Sophie Martin</t>
        </is>
      </c>
      <c r="J28" s="60" t="inlineStr">
        <is>
          <t>Actif</t>
        </is>
      </c>
      <c r="K28" s="60" t="inlineStr">
        <is>
          <t>Haute</t>
        </is>
      </c>
      <c r="L28" s="68" t="n">
        <v>45744</v>
      </c>
      <c r="M28" s="68" t="n">
        <v>46195</v>
      </c>
      <c r="N28" s="68" t="n">
        <v>46203</v>
      </c>
      <c r="O28" s="62" t="n">
        <v>35500</v>
      </c>
      <c r="P28" s="62" t="n">
        <v>34500</v>
      </c>
      <c r="Q28" s="61" t="n">
        <v>5</v>
      </c>
      <c r="R28" s="69">
        <f>IF(M28="","",TODAY()-M28)</f>
        <v/>
      </c>
      <c r="S28" s="69">
        <f>IF(N28="","",IF(N28&lt;TODAY(),"⚠ En retard",IF(N28&lt;=TODAY()+7,"◕ Bientôt","✓ OK")))</f>
        <v/>
      </c>
    </row>
    <row r="29">
      <c r="A29" s="67">
        <f>IF(B29="","",TEXT(ROW()-3,"000"))</f>
        <v/>
      </c>
      <c r="B29" s="70" t="inlineStr">
        <is>
          <t>Nova Partners</t>
        </is>
      </c>
      <c r="C29" s="70" t="inlineStr">
        <is>
          <t>Yanis Blanc</t>
        </is>
      </c>
      <c r="D29" s="70" t="inlineStr">
        <is>
          <t>contact@nova.fr</t>
        </is>
      </c>
      <c r="E29" s="70" t="inlineStr">
        <is>
          <t>02 46 75 94 91</t>
        </is>
      </c>
      <c r="F29" s="70" t="inlineStr">
        <is>
          <t>TPE</t>
        </is>
      </c>
      <c r="G29" s="70" t="inlineStr">
        <is>
          <t>Services</t>
        </is>
      </c>
      <c r="H29" s="70" t="inlineStr">
        <is>
          <t>Hauts-de-France</t>
        </is>
      </c>
      <c r="I29" s="70" t="inlineStr">
        <is>
          <t>Sophie Martin</t>
        </is>
      </c>
      <c r="J29" s="70" t="inlineStr">
        <is>
          <t>Inactif</t>
        </is>
      </c>
      <c r="K29" s="70" t="inlineStr">
        <is>
          <t>Basse</t>
        </is>
      </c>
      <c r="L29" s="71" t="n">
        <v>46117</v>
      </c>
      <c r="M29" s="71" t="n">
        <v>46132</v>
      </c>
      <c r="N29" s="71" t="n">
        <v>46136</v>
      </c>
      <c r="O29" s="72" t="n">
        <v>5500</v>
      </c>
      <c r="P29" s="72" t="n">
        <v>2000</v>
      </c>
      <c r="Q29" s="73" t="n">
        <v>4</v>
      </c>
      <c r="R29" s="69">
        <f>IF(M29="","",TODAY()-M29)</f>
        <v/>
      </c>
      <c r="S29" s="69">
        <f>IF(N29="","",IF(N29&lt;TODAY(),"⚠ En retard",IF(N29&lt;=TODAY()+7,"◕ Bientôt","✓ OK")))</f>
        <v/>
      </c>
    </row>
    <row r="30">
      <c r="A30" s="67">
        <f>IF(B30="","",TEXT(ROW()-3,"000"))</f>
        <v/>
      </c>
      <c r="B30" s="60" t="inlineStr">
        <is>
          <t>Opale Lab</t>
        </is>
      </c>
      <c r="C30" s="60" t="inlineStr">
        <is>
          <t>Manon Fabre</t>
        </is>
      </c>
      <c r="D30" s="60" t="inlineStr">
        <is>
          <t>contact@opale.fr</t>
        </is>
      </c>
      <c r="E30" s="60" t="inlineStr">
        <is>
          <t>08 63 90 83 34</t>
        </is>
      </c>
      <c r="F30" s="60" t="inlineStr">
        <is>
          <t>TPE</t>
        </is>
      </c>
      <c r="G30" s="60" t="inlineStr">
        <is>
          <t>Tech</t>
        </is>
      </c>
      <c r="H30" s="60" t="inlineStr">
        <is>
          <t>Auvergne-Rhône-Alpes</t>
        </is>
      </c>
      <c r="I30" s="60" t="inlineStr">
        <is>
          <t>Thomas Petit</t>
        </is>
      </c>
      <c r="J30" s="60" t="inlineStr">
        <is>
          <t>Actif</t>
        </is>
      </c>
      <c r="K30" s="60" t="inlineStr">
        <is>
          <t>Haute</t>
        </is>
      </c>
      <c r="L30" s="68" t="n">
        <v>46089</v>
      </c>
      <c r="M30" s="68" t="n">
        <v>46190</v>
      </c>
      <c r="N30" s="68" t="n">
        <v>46199</v>
      </c>
      <c r="O30" s="62" t="n">
        <v>6500</v>
      </c>
      <c r="P30" s="62" t="n">
        <v>6500</v>
      </c>
      <c r="Q30" s="61" t="n">
        <v>4</v>
      </c>
      <c r="R30" s="69">
        <f>IF(M30="","",TODAY()-M30)</f>
        <v/>
      </c>
      <c r="S30" s="69">
        <f>IF(N30="","",IF(N30&lt;TODAY(),"⚠ En retard",IF(N30&lt;=TODAY()+7,"◕ Bientôt","✓ OK")))</f>
        <v/>
      </c>
    </row>
    <row r="31">
      <c r="A31" s="67">
        <f>IF(B31="","",TEXT(ROW()-3,"000"))</f>
        <v/>
      </c>
      <c r="B31" s="70" t="inlineStr">
        <is>
          <t>Phénix SAS</t>
        </is>
      </c>
      <c r="C31" s="70" t="inlineStr">
        <is>
          <t>Léo Nkemba</t>
        </is>
      </c>
      <c r="D31" s="70" t="inlineStr">
        <is>
          <t>contact@phenix.fr</t>
        </is>
      </c>
      <c r="E31" s="70" t="inlineStr">
        <is>
          <t>02 68 27 69 95</t>
        </is>
      </c>
      <c r="F31" s="70" t="inlineStr">
        <is>
          <t>PME</t>
        </is>
      </c>
      <c r="G31" s="70" t="inlineStr">
        <is>
          <t>BTP</t>
        </is>
      </c>
      <c r="H31" s="70" t="inlineStr">
        <is>
          <t>Grand Est</t>
        </is>
      </c>
      <c r="I31" s="70" t="inlineStr">
        <is>
          <t>Nadia Cohen</t>
        </is>
      </c>
      <c r="J31" s="70" t="inlineStr">
        <is>
          <t>Actif</t>
        </is>
      </c>
      <c r="K31" s="70" t="inlineStr">
        <is>
          <t>Basse</t>
        </is>
      </c>
      <c r="L31" s="71" t="n">
        <v>46142</v>
      </c>
      <c r="M31" s="71" t="n">
        <v>46196</v>
      </c>
      <c r="N31" s="71" t="n">
        <v>46201</v>
      </c>
      <c r="O31" s="72" t="n">
        <v>42500</v>
      </c>
      <c r="P31" s="72" t="n">
        <v>36500</v>
      </c>
      <c r="Q31" s="73" t="n">
        <v>3</v>
      </c>
      <c r="R31" s="69">
        <f>IF(M31="","",TODAY()-M31)</f>
        <v/>
      </c>
      <c r="S31" s="69">
        <f>IF(N31="","",IF(N31&lt;TODAY(),"⚠ En retard",IF(N31&lt;=TODAY()+7,"◕ Bientôt","✓ OK")))</f>
        <v/>
      </c>
    </row>
    <row r="32">
      <c r="A32" s="67">
        <f>IF(B32="","",TEXT(ROW()-3,"000"))</f>
        <v/>
      </c>
      <c r="B32" s="60" t="inlineStr">
        <is>
          <t>Quartz Tech</t>
        </is>
      </c>
      <c r="C32" s="60" t="inlineStr">
        <is>
          <t>Jade Roux</t>
        </is>
      </c>
      <c r="D32" s="60" t="inlineStr">
        <is>
          <t>contact@quartz.fr</t>
        </is>
      </c>
      <c r="E32" s="60" t="inlineStr">
        <is>
          <t>05 76 72 90 40</t>
        </is>
      </c>
      <c r="F32" s="60" t="inlineStr">
        <is>
          <t>PME</t>
        </is>
      </c>
      <c r="G32" s="60" t="inlineStr">
        <is>
          <t>Média</t>
        </is>
      </c>
      <c r="H32" s="60" t="inlineStr">
        <is>
          <t>PACA</t>
        </is>
      </c>
      <c r="I32" s="60" t="inlineStr">
        <is>
          <t>Sophie Martin</t>
        </is>
      </c>
      <c r="J32" s="60" t="inlineStr">
        <is>
          <t>En négociation</t>
        </is>
      </c>
      <c r="K32" s="60" t="inlineStr">
        <is>
          <t>Haute</t>
        </is>
      </c>
      <c r="L32" s="68" t="n">
        <v>45845</v>
      </c>
      <c r="M32" s="68" t="n">
        <v>46102</v>
      </c>
      <c r="N32" s="68" t="n">
        <v>46105</v>
      </c>
      <c r="O32" s="62" t="n">
        <v>24000</v>
      </c>
      <c r="P32" s="62" t="n">
        <v>0</v>
      </c>
      <c r="Q32" s="61" t="n">
        <v>3</v>
      </c>
      <c r="R32" s="69">
        <f>IF(M32="","",TODAY()-M32)</f>
        <v/>
      </c>
      <c r="S32" s="69">
        <f>IF(N32="","",IF(N32&lt;TODAY(),"⚠ En retard",IF(N32&lt;=TODAY()+7,"◕ Bientôt","✓ OK")))</f>
        <v/>
      </c>
    </row>
    <row r="33">
      <c r="A33" s="67">
        <f>IF(B33="","",TEXT(ROW()-3,"000"))</f>
        <v/>
      </c>
      <c r="B33" s="70" t="inlineStr">
        <is>
          <t>Rubis Group</t>
        </is>
      </c>
      <c r="C33" s="70" t="inlineStr">
        <is>
          <t>Zoé Vasseur</t>
        </is>
      </c>
      <c r="D33" s="70" t="inlineStr">
        <is>
          <t>contact@rubis.fr</t>
        </is>
      </c>
      <c r="E33" s="70" t="inlineStr">
        <is>
          <t>02 63 62 52 79</t>
        </is>
      </c>
      <c r="F33" s="70" t="inlineStr">
        <is>
          <t>PME</t>
        </is>
      </c>
      <c r="G33" s="70" t="inlineStr">
        <is>
          <t>Tech</t>
        </is>
      </c>
      <c r="H33" s="70" t="inlineStr">
        <is>
          <t>Grand Est</t>
        </is>
      </c>
      <c r="I33" s="70" t="inlineStr">
        <is>
          <t>Sophie Martin</t>
        </is>
      </c>
      <c r="J33" s="70" t="inlineStr">
        <is>
          <t>Prospect</t>
        </is>
      </c>
      <c r="K33" s="70" t="inlineStr">
        <is>
          <t>Moyenne</t>
        </is>
      </c>
      <c r="L33" s="71" t="n">
        <v>45780</v>
      </c>
      <c r="M33" s="71" t="n">
        <v>46083</v>
      </c>
      <c r="N33" s="71" t="n">
        <v>46100</v>
      </c>
      <c r="O33" s="72" t="n">
        <v>28500</v>
      </c>
      <c r="P33" s="72" t="n">
        <v>0</v>
      </c>
      <c r="Q33" s="73" t="n">
        <v>4</v>
      </c>
      <c r="R33" s="69">
        <f>IF(M33="","",TODAY()-M33)</f>
        <v/>
      </c>
      <c r="S33" s="69">
        <f>IF(N33="","",IF(N33&lt;TODAY(),"⚠ En retard",IF(N33&lt;=TODAY()+7,"◕ Bientôt","✓ OK")))</f>
        <v/>
      </c>
    </row>
    <row r="34">
      <c r="A34" s="67">
        <f>IF(B34="","",TEXT(ROW()-3,"000"))</f>
        <v/>
      </c>
      <c r="B34" s="60" t="inlineStr">
        <is>
          <t>Saphir Lab</t>
        </is>
      </c>
      <c r="C34" s="60" t="inlineStr">
        <is>
          <t>Hugo Bernard</t>
        </is>
      </c>
      <c r="D34" s="60" t="inlineStr">
        <is>
          <t>contact@saphir.fr</t>
        </is>
      </c>
      <c r="E34" s="60" t="inlineStr">
        <is>
          <t>09 87 38 72 38</t>
        </is>
      </c>
      <c r="F34" s="60" t="inlineStr">
        <is>
          <t>PME</t>
        </is>
      </c>
      <c r="G34" s="60" t="inlineStr">
        <is>
          <t>Finance</t>
        </is>
      </c>
      <c r="H34" s="60" t="inlineStr">
        <is>
          <t>Occitanie</t>
        </is>
      </c>
      <c r="I34" s="60" t="inlineStr">
        <is>
          <t>Thomas Petit</t>
        </is>
      </c>
      <c r="J34" s="60" t="inlineStr">
        <is>
          <t>Prospect</t>
        </is>
      </c>
      <c r="K34" s="60" t="inlineStr">
        <is>
          <t>Moyenne</t>
        </is>
      </c>
      <c r="L34" s="68" t="n">
        <v>46152</v>
      </c>
      <c r="M34" s="68" t="n">
        <v>46201</v>
      </c>
      <c r="N34" s="68" t="n">
        <v>46204</v>
      </c>
      <c r="O34" s="62" t="n">
        <v>50500</v>
      </c>
      <c r="P34" s="62" t="n">
        <v>0</v>
      </c>
      <c r="Q34" s="61" t="n">
        <v>4</v>
      </c>
      <c r="R34" s="69">
        <f>IF(M34="","",TODAY()-M34)</f>
        <v/>
      </c>
      <c r="S34" s="69">
        <f>IF(N34="","",IF(N34&lt;TODAY(),"⚠ En retard",IF(N34&lt;=TODAY()+7,"◕ Bientôt","✓ OK")))</f>
        <v/>
      </c>
    </row>
    <row r="35">
      <c r="A35" s="67">
        <f>IF(B35="","",TEXT(ROW()-3,"000"))</f>
        <v/>
      </c>
      <c r="B35" s="70" t="inlineStr">
        <is>
          <t>Titan &amp; Associés</t>
        </is>
      </c>
      <c r="C35" s="70" t="inlineStr">
        <is>
          <t>Chloé Petit</t>
        </is>
      </c>
      <c r="D35" s="70" t="inlineStr">
        <is>
          <t>contact@titan.fr</t>
        </is>
      </c>
      <c r="E35" s="70" t="inlineStr">
        <is>
          <t>01 20 92 64 27</t>
        </is>
      </c>
      <c r="F35" s="70" t="inlineStr">
        <is>
          <t>TPE</t>
        </is>
      </c>
      <c r="G35" s="70" t="inlineStr">
        <is>
          <t>Retail</t>
        </is>
      </c>
      <c r="H35" s="70" t="inlineStr">
        <is>
          <t>Bretagne</t>
        </is>
      </c>
      <c r="I35" s="70" t="inlineStr">
        <is>
          <t>Karim Benali</t>
        </is>
      </c>
      <c r="J35" s="70" t="inlineStr">
        <is>
          <t>Prospect</t>
        </is>
      </c>
      <c r="K35" s="70" t="inlineStr">
        <is>
          <t>Moyenne</t>
        </is>
      </c>
      <c r="L35" s="71" t="n">
        <v>45626</v>
      </c>
      <c r="M35" s="71" t="n">
        <v>46168</v>
      </c>
      <c r="N35" s="71" t="n">
        <v>46187</v>
      </c>
      <c r="O35" s="72" t="n">
        <v>7500</v>
      </c>
      <c r="P35" s="72" t="n">
        <v>0</v>
      </c>
      <c r="Q35" s="73" t="n">
        <v>5</v>
      </c>
      <c r="R35" s="69">
        <f>IF(M35="","",TODAY()-M35)</f>
        <v/>
      </c>
      <c r="S35" s="69">
        <f>IF(N35="","",IF(N35&lt;TODAY(),"⚠ En retard",IF(N35&lt;=TODAY()+7,"◕ Bientôt","✓ OK")))</f>
        <v/>
      </c>
    </row>
    <row r="36">
      <c r="A36" s="67">
        <f>IF(B36="","",TEXT(ROW()-3,"000"))</f>
        <v/>
      </c>
      <c r="B36" s="60" t="inlineStr">
        <is>
          <t>Ulys &amp; Associés</t>
        </is>
      </c>
      <c r="C36" s="60" t="inlineStr">
        <is>
          <t>Lucie Simon</t>
        </is>
      </c>
      <c r="D36" s="60" t="inlineStr">
        <is>
          <t>contact@ulys.fr</t>
        </is>
      </c>
      <c r="E36" s="60" t="inlineStr">
        <is>
          <t>02 70 12 79 16</t>
        </is>
      </c>
      <c r="F36" s="60" t="inlineStr">
        <is>
          <t>Particulier</t>
        </is>
      </c>
      <c r="G36" s="60" t="inlineStr">
        <is>
          <t>Tech</t>
        </is>
      </c>
      <c r="H36" s="60" t="inlineStr">
        <is>
          <t>Île-de-France</t>
        </is>
      </c>
      <c r="I36" s="60" t="inlineStr">
        <is>
          <t>Léa Dubois</t>
        </is>
      </c>
      <c r="J36" s="60" t="inlineStr">
        <is>
          <t>Prospect</t>
        </is>
      </c>
      <c r="K36" s="60" t="inlineStr">
        <is>
          <t>Haute</t>
        </is>
      </c>
      <c r="L36" s="68" t="n">
        <v>45545</v>
      </c>
      <c r="M36" s="68" t="n">
        <v>46133</v>
      </c>
      <c r="N36" s="68" t="n">
        <v>46129</v>
      </c>
      <c r="O36" s="62" t="n">
        <v>4000</v>
      </c>
      <c r="P36" s="62" t="n">
        <v>0</v>
      </c>
      <c r="Q36" s="61" t="n">
        <v>3</v>
      </c>
      <c r="R36" s="69">
        <f>IF(M36="","",TODAY()-M36)</f>
        <v/>
      </c>
      <c r="S36" s="69">
        <f>IF(N36="","",IF(N36&lt;TODAY(),"⚠ En retard",IF(N36&lt;=TODAY()+7,"◕ Bientôt","✓ OK")))</f>
        <v/>
      </c>
    </row>
    <row r="37">
      <c r="A37" s="67">
        <f>IF(B37="","",TEXT(ROW()-3,"000"))</f>
        <v/>
      </c>
      <c r="B37" s="70" t="inlineStr">
        <is>
          <t>Véga Studio</t>
        </is>
      </c>
      <c r="C37" s="70" t="inlineStr">
        <is>
          <t>Nathan Ancel</t>
        </is>
      </c>
      <c r="D37" s="70" t="inlineStr">
        <is>
          <t>contact@vega.fr</t>
        </is>
      </c>
      <c r="E37" s="70" t="inlineStr">
        <is>
          <t>04 69 99 42 57</t>
        </is>
      </c>
      <c r="F37" s="70" t="inlineStr">
        <is>
          <t>Grand Compte</t>
        </is>
      </c>
      <c r="G37" s="70" t="inlineStr">
        <is>
          <t>Santé</t>
        </is>
      </c>
      <c r="H37" s="70" t="inlineStr">
        <is>
          <t>Nouvelle-Aquitaine</t>
        </is>
      </c>
      <c r="I37" s="70" t="inlineStr">
        <is>
          <t>Nadia Cohen</t>
        </is>
      </c>
      <c r="J37" s="70" t="inlineStr">
        <is>
          <t>Perdu</t>
        </is>
      </c>
      <c r="K37" s="70" t="inlineStr">
        <is>
          <t>Basse</t>
        </is>
      </c>
      <c r="L37" s="71" t="n">
        <v>45402</v>
      </c>
      <c r="M37" s="71" t="n">
        <v>46088</v>
      </c>
      <c r="N37" s="71" t="n">
        <v>46102</v>
      </c>
      <c r="O37" s="72" t="n">
        <v>105500</v>
      </c>
      <c r="P37" s="72" t="n">
        <v>0</v>
      </c>
      <c r="Q37" s="73" t="n">
        <v>2</v>
      </c>
      <c r="R37" s="69">
        <f>IF(M37="","",TODAY()-M37)</f>
        <v/>
      </c>
      <c r="S37" s="69">
        <f>IF(N37="","",IF(N37&lt;TODAY(),"⚠ En retard",IF(N37&lt;=TODAY()+7,"◕ Bientôt","✓ OK")))</f>
        <v/>
      </c>
    </row>
    <row r="38">
      <c r="A38" s="67">
        <f>IF(B38="","",TEXT(ROW()-3,"000"))</f>
        <v/>
      </c>
      <c r="B38" s="60" t="inlineStr">
        <is>
          <t>Wagram &amp; Associés</t>
        </is>
      </c>
      <c r="C38" s="60" t="inlineStr">
        <is>
          <t>Zoé Vasseur</t>
        </is>
      </c>
      <c r="D38" s="60" t="inlineStr">
        <is>
          <t>contact@wagram.fr</t>
        </is>
      </c>
      <c r="E38" s="60" t="inlineStr">
        <is>
          <t>02 85 98 90 41</t>
        </is>
      </c>
      <c r="F38" s="60" t="inlineStr">
        <is>
          <t>Grand Compte</t>
        </is>
      </c>
      <c r="G38" s="60" t="inlineStr">
        <is>
          <t>Industrie</t>
        </is>
      </c>
      <c r="H38" s="60" t="inlineStr">
        <is>
          <t>Île-de-France</t>
        </is>
      </c>
      <c r="I38" s="60" t="inlineStr">
        <is>
          <t>Léa Dubois</t>
        </is>
      </c>
      <c r="J38" s="60" t="inlineStr">
        <is>
          <t>Inactif</t>
        </is>
      </c>
      <c r="K38" s="60" t="inlineStr">
        <is>
          <t>Moyenne</t>
        </is>
      </c>
      <c r="L38" s="68" t="n">
        <v>45647</v>
      </c>
      <c r="M38" s="68" t="n">
        <v>46191</v>
      </c>
      <c r="N38" s="68" t="n">
        <v>46209</v>
      </c>
      <c r="O38" s="62" t="n">
        <v>60000</v>
      </c>
      <c r="P38" s="62" t="n">
        <v>37000</v>
      </c>
      <c r="Q38" s="61" t="n">
        <v>1</v>
      </c>
      <c r="R38" s="69">
        <f>IF(M38="","",TODAY()-M38)</f>
        <v/>
      </c>
      <c r="S38" s="69">
        <f>IF(N38="","",IF(N38&lt;TODAY(),"⚠ En retard",IF(N38&lt;=TODAY()+7,"◕ Bientôt","✓ OK")))</f>
        <v/>
      </c>
    </row>
    <row r="39">
      <c r="A39" s="67">
        <f>IF(B39="","",TEXT(ROW()-3,"000"))</f>
        <v/>
      </c>
      <c r="B39" s="70" t="inlineStr">
        <is>
          <t>Xenon &amp; Associés</t>
        </is>
      </c>
      <c r="C39" s="70" t="inlineStr">
        <is>
          <t>Jade Marchand</t>
        </is>
      </c>
      <c r="D39" s="70" t="inlineStr">
        <is>
          <t>contact@xenon.fr</t>
        </is>
      </c>
      <c r="E39" s="70" t="inlineStr">
        <is>
          <t>02 65 56 91 68</t>
        </is>
      </c>
      <c r="F39" s="70" t="inlineStr">
        <is>
          <t>TPE</t>
        </is>
      </c>
      <c r="G39" s="70" t="inlineStr">
        <is>
          <t>Services</t>
        </is>
      </c>
      <c r="H39" s="70" t="inlineStr">
        <is>
          <t>Bretagne</t>
        </is>
      </c>
      <c r="I39" s="70" t="inlineStr">
        <is>
          <t>Thomas Petit</t>
        </is>
      </c>
      <c r="J39" s="70" t="inlineStr">
        <is>
          <t>Prospect</t>
        </is>
      </c>
      <c r="K39" s="70" t="inlineStr">
        <is>
          <t>Moyenne</t>
        </is>
      </c>
      <c r="L39" s="71" t="n">
        <v>45768</v>
      </c>
      <c r="M39" s="71" t="n">
        <v>46193</v>
      </c>
      <c r="N39" s="71" t="n">
        <v>46205</v>
      </c>
      <c r="O39" s="72" t="n">
        <v>8000</v>
      </c>
      <c r="P39" s="72" t="n">
        <v>0</v>
      </c>
      <c r="Q39" s="73" t="n">
        <v>3</v>
      </c>
      <c r="R39" s="69">
        <f>IF(M39="","",TODAY()-M39)</f>
        <v/>
      </c>
      <c r="S39" s="69">
        <f>IF(N39="","",IF(N39&lt;TODAY(),"⚠ En retard",IF(N39&lt;=TODAY()+7,"◕ Bientôt","✓ OK")))</f>
        <v/>
      </c>
    </row>
    <row r="40">
      <c r="A40" s="67">
        <f>IF(B40="","",TEXT(ROW()-3,"000"))</f>
        <v/>
      </c>
      <c r="B40" s="60" t="inlineStr">
        <is>
          <t>Yucca Industries</t>
        </is>
      </c>
      <c r="C40" s="60" t="inlineStr">
        <is>
          <t>Lucie Lopez</t>
        </is>
      </c>
      <c r="D40" s="60" t="inlineStr">
        <is>
          <t>contact@yucca.fr</t>
        </is>
      </c>
      <c r="E40" s="60" t="inlineStr">
        <is>
          <t>08 41 69 82 88</t>
        </is>
      </c>
      <c r="F40" s="60" t="inlineStr">
        <is>
          <t>TPE</t>
        </is>
      </c>
      <c r="G40" s="60" t="inlineStr">
        <is>
          <t>Santé</t>
        </is>
      </c>
      <c r="H40" s="60" t="inlineStr">
        <is>
          <t>Bretagne</t>
        </is>
      </c>
      <c r="I40" s="60" t="inlineStr">
        <is>
          <t>Léa Dubois</t>
        </is>
      </c>
      <c r="J40" s="60" t="inlineStr">
        <is>
          <t>Prospect</t>
        </is>
      </c>
      <c r="K40" s="60" t="inlineStr">
        <is>
          <t>Basse</t>
        </is>
      </c>
      <c r="L40" s="68" t="n">
        <v>45509</v>
      </c>
      <c r="M40" s="68" t="n">
        <v>46172</v>
      </c>
      <c r="N40" s="68" t="n">
        <v>46183</v>
      </c>
      <c r="O40" s="62" t="n">
        <v>8000</v>
      </c>
      <c r="P40" s="62" t="n">
        <v>0</v>
      </c>
      <c r="Q40" s="61" t="n">
        <v>5</v>
      </c>
      <c r="R40" s="69">
        <f>IF(M40="","",TODAY()-M40)</f>
        <v/>
      </c>
      <c r="S40" s="69">
        <f>IF(N40="","",IF(N40&lt;TODAY(),"⚠ En retard",IF(N40&lt;=TODAY()+7,"◕ Bientôt","✓ OK")))</f>
        <v/>
      </c>
    </row>
    <row r="41">
      <c r="A41" s="67">
        <f>IF(B41="","",TEXT(ROW()-3,"000"))</f>
        <v/>
      </c>
      <c r="B41" s="70" t="inlineStr">
        <is>
          <t>Zephyr Partners</t>
        </is>
      </c>
      <c r="C41" s="70" t="inlineStr">
        <is>
          <t>Alice Faure</t>
        </is>
      </c>
      <c r="D41" s="70" t="inlineStr">
        <is>
          <t>contact@zephyr.fr</t>
        </is>
      </c>
      <c r="E41" s="70" t="inlineStr">
        <is>
          <t>09 11 76 34 20</t>
        </is>
      </c>
      <c r="F41" s="70" t="inlineStr">
        <is>
          <t>PME</t>
        </is>
      </c>
      <c r="G41" s="70" t="inlineStr">
        <is>
          <t>BTP</t>
        </is>
      </c>
      <c r="H41" s="70" t="inlineStr">
        <is>
          <t>Bretagne</t>
        </is>
      </c>
      <c r="I41" s="70" t="inlineStr">
        <is>
          <t>Thomas Petit</t>
        </is>
      </c>
      <c r="J41" s="70" t="inlineStr">
        <is>
          <t>Actif</t>
        </is>
      </c>
      <c r="K41" s="70" t="inlineStr">
        <is>
          <t>Basse</t>
        </is>
      </c>
      <c r="L41" s="71" t="n">
        <v>45750</v>
      </c>
      <c r="M41" s="71" t="n">
        <v>46086</v>
      </c>
      <c r="N41" s="71" t="n">
        <v>46086</v>
      </c>
      <c r="O41" s="72" t="n">
        <v>28500</v>
      </c>
      <c r="P41" s="72" t="n">
        <v>23500</v>
      </c>
      <c r="Q41" s="73" t="n">
        <v>3</v>
      </c>
      <c r="R41" s="69">
        <f>IF(M41="","",TODAY()-M41)</f>
        <v/>
      </c>
      <c r="S41" s="69">
        <f>IF(N41="","",IF(N41&lt;TODAY(),"⚠ En retard",IF(N41&lt;=TODAY()+7,"◕ Bientôt","✓ OK")))</f>
        <v/>
      </c>
    </row>
    <row r="42">
      <c r="A42" s="67">
        <f>IF(B42="","",TEXT(ROW()-3,"000"))</f>
        <v/>
      </c>
      <c r="B42" s="60" t="inlineStr">
        <is>
          <t>Altaïr Digital</t>
        </is>
      </c>
      <c r="C42" s="60" t="inlineStr">
        <is>
          <t>Chloé Girard</t>
        </is>
      </c>
      <c r="D42" s="60" t="inlineStr">
        <is>
          <t>contact@altair.fr</t>
        </is>
      </c>
      <c r="E42" s="60" t="inlineStr">
        <is>
          <t>08 80 77 54 64</t>
        </is>
      </c>
      <c r="F42" s="60" t="inlineStr">
        <is>
          <t>Particulier</t>
        </is>
      </c>
      <c r="G42" s="60" t="inlineStr">
        <is>
          <t>Services</t>
        </is>
      </c>
      <c r="H42" s="60" t="inlineStr">
        <is>
          <t>Nouvelle-Aquitaine</t>
        </is>
      </c>
      <c r="I42" s="60" t="inlineStr">
        <is>
          <t>Nadia Cohen</t>
        </is>
      </c>
      <c r="J42" s="60" t="inlineStr">
        <is>
          <t>Actif</t>
        </is>
      </c>
      <c r="K42" s="60" t="inlineStr">
        <is>
          <t>Basse</t>
        </is>
      </c>
      <c r="L42" s="68" t="n">
        <v>45549</v>
      </c>
      <c r="M42" s="68" t="n">
        <v>46141</v>
      </c>
      <c r="N42" s="68" t="n">
        <v>46143</v>
      </c>
      <c r="O42" s="62" t="n">
        <v>4500</v>
      </c>
      <c r="P42" s="62" t="n">
        <v>3500</v>
      </c>
      <c r="Q42" s="61" t="n">
        <v>5</v>
      </c>
      <c r="R42" s="69">
        <f>IF(M42="","",TODAY()-M42)</f>
        <v/>
      </c>
      <c r="S42" s="69">
        <f>IF(N42="","",IF(N42&lt;TODAY(),"⚠ En retard",IF(N42&lt;=TODAY()+7,"◕ Bientôt","✓ OK")))</f>
        <v/>
      </c>
    </row>
    <row r="43">
      <c r="A43" s="67">
        <f>IF(B43="","",TEXT(ROW()-3,"000"))</f>
        <v/>
      </c>
      <c r="B43" s="70" t="inlineStr">
        <is>
          <t>Bastion Systems</t>
        </is>
      </c>
      <c r="C43" s="70" t="inlineStr">
        <is>
          <t>Zoé Khaled</t>
        </is>
      </c>
      <c r="D43" s="70" t="inlineStr">
        <is>
          <t>contact@bastion.fr</t>
        </is>
      </c>
      <c r="E43" s="70" t="inlineStr">
        <is>
          <t>04 37 71 45 85</t>
        </is>
      </c>
      <c r="F43" s="70" t="inlineStr">
        <is>
          <t>Particulier</t>
        </is>
      </c>
      <c r="G43" s="70" t="inlineStr">
        <is>
          <t>Retail</t>
        </is>
      </c>
      <c r="H43" s="70" t="inlineStr">
        <is>
          <t>Nouvelle-Aquitaine</t>
        </is>
      </c>
      <c r="I43" s="70" t="inlineStr">
        <is>
          <t>Nadia Cohen</t>
        </is>
      </c>
      <c r="J43" s="70" t="inlineStr">
        <is>
          <t>Actif</t>
        </is>
      </c>
      <c r="K43" s="70" t="inlineStr">
        <is>
          <t>Basse</t>
        </is>
      </c>
      <c r="L43" s="71" t="n">
        <v>45524</v>
      </c>
      <c r="M43" s="71" t="n">
        <v>46174</v>
      </c>
      <c r="N43" s="71" t="n">
        <v>46180</v>
      </c>
      <c r="O43" s="72" t="n">
        <v>3000</v>
      </c>
      <c r="P43" s="72" t="n">
        <v>2500</v>
      </c>
      <c r="Q43" s="73" t="n">
        <v>2</v>
      </c>
      <c r="R43" s="69">
        <f>IF(M43="","",TODAY()-M43)</f>
        <v/>
      </c>
      <c r="S43" s="69">
        <f>IF(N43="","",IF(N43&lt;TODAY(),"⚠ En retard",IF(N43&lt;=TODAY()+7,"◕ Bientôt","✓ OK")))</f>
        <v/>
      </c>
    </row>
    <row r="44">
      <c r="A44" s="67">
        <f>IF(B44="","",TEXT(ROW()-3,"000"))</f>
        <v/>
      </c>
      <c r="B44" s="60" t="inlineStr">
        <is>
          <t>Comète SAS</t>
        </is>
      </c>
      <c r="C44" s="60" t="inlineStr">
        <is>
          <t>Marc Bernard</t>
        </is>
      </c>
      <c r="D44" s="60" t="inlineStr">
        <is>
          <t>contact@comete.fr</t>
        </is>
      </c>
      <c r="E44" s="60" t="inlineStr">
        <is>
          <t>05 99 26 91 72</t>
        </is>
      </c>
      <c r="F44" s="60" t="inlineStr">
        <is>
          <t>Grand Compte</t>
        </is>
      </c>
      <c r="G44" s="60" t="inlineStr">
        <is>
          <t>BTP</t>
        </is>
      </c>
      <c r="H44" s="60" t="inlineStr">
        <is>
          <t>PACA</t>
        </is>
      </c>
      <c r="I44" s="60" t="inlineStr">
        <is>
          <t>Sophie Martin</t>
        </is>
      </c>
      <c r="J44" s="60" t="inlineStr">
        <is>
          <t>Actif</t>
        </is>
      </c>
      <c r="K44" s="60" t="inlineStr">
        <is>
          <t>Moyenne</t>
        </is>
      </c>
      <c r="L44" s="68" t="n">
        <v>45480</v>
      </c>
      <c r="M44" s="68" t="n">
        <v>46095</v>
      </c>
      <c r="N44" s="68" t="n">
        <v>46106</v>
      </c>
      <c r="O44" s="62" t="n">
        <v>138500</v>
      </c>
      <c r="P44" s="62" t="n">
        <v>120000</v>
      </c>
      <c r="Q44" s="61" t="n">
        <v>5</v>
      </c>
      <c r="R44" s="69">
        <f>IF(M44="","",TODAY()-M44)</f>
        <v/>
      </c>
      <c r="S44" s="69">
        <f>IF(N44="","",IF(N44&lt;TODAY(),"⚠ En retard",IF(N44&lt;=TODAY()+7,"◕ Bientôt","✓ OK")))</f>
        <v/>
      </c>
    </row>
    <row r="45">
      <c r="A45" s="67">
        <f>IF(B45="","",TEXT(ROW()-3,"000"))</f>
        <v/>
      </c>
      <c r="B45" s="70" t="inlineStr">
        <is>
          <t>Dune &amp; Associés</t>
        </is>
      </c>
      <c r="C45" s="70" t="inlineStr">
        <is>
          <t>Antoine Fabre</t>
        </is>
      </c>
      <c r="D45" s="70" t="inlineStr">
        <is>
          <t>contact@dune.fr</t>
        </is>
      </c>
      <c r="E45" s="70" t="inlineStr">
        <is>
          <t>01 29 29 82 48</t>
        </is>
      </c>
      <c r="F45" s="70" t="inlineStr">
        <is>
          <t>Grand Compte</t>
        </is>
      </c>
      <c r="G45" s="70" t="inlineStr">
        <is>
          <t>Retail</t>
        </is>
      </c>
      <c r="H45" s="70" t="inlineStr">
        <is>
          <t>Grand Est</t>
        </is>
      </c>
      <c r="I45" s="70" t="inlineStr">
        <is>
          <t>Karim Benali</t>
        </is>
      </c>
      <c r="J45" s="70" t="inlineStr">
        <is>
          <t>Prospect</t>
        </is>
      </c>
      <c r="K45" s="70" t="inlineStr">
        <is>
          <t>Basse</t>
        </is>
      </c>
      <c r="L45" s="71" t="n">
        <v>45753</v>
      </c>
      <c r="M45" s="71" t="n">
        <v>46195</v>
      </c>
      <c r="N45" s="71" t="n">
        <v>46209</v>
      </c>
      <c r="O45" s="72" t="n">
        <v>131000</v>
      </c>
      <c r="P45" s="72" t="n">
        <v>0</v>
      </c>
      <c r="Q45" s="73" t="n">
        <v>5</v>
      </c>
      <c r="R45" s="69">
        <f>IF(M45="","",TODAY()-M45)</f>
        <v/>
      </c>
      <c r="S45" s="69">
        <f>IF(N45="","",IF(N45&lt;TODAY(),"⚠ En retard",IF(N45&lt;=TODAY()+7,"◕ Bientôt","✓ OK")))</f>
        <v/>
      </c>
    </row>
    <row r="46">
      <c r="A46" s="67">
        <f>IF(B46="","",TEXT(ROW()-3,"000"))</f>
        <v/>
      </c>
      <c r="B46" s="60" t="inlineStr">
        <is>
          <t>Élan Conseil</t>
        </is>
      </c>
      <c r="C46" s="60" t="inlineStr">
        <is>
          <t>Chloé Nguyen</t>
        </is>
      </c>
      <c r="D46" s="60" t="inlineStr">
        <is>
          <t>contact@elan.fr</t>
        </is>
      </c>
      <c r="E46" s="60" t="inlineStr">
        <is>
          <t>01 88 22 36 90</t>
        </is>
      </c>
      <c r="F46" s="60" t="inlineStr">
        <is>
          <t>PME</t>
        </is>
      </c>
      <c r="G46" s="60" t="inlineStr">
        <is>
          <t>Industrie</t>
        </is>
      </c>
      <c r="H46" s="60" t="inlineStr">
        <is>
          <t>Occitanie</t>
        </is>
      </c>
      <c r="I46" s="60" t="inlineStr">
        <is>
          <t>Sophie Martin</t>
        </is>
      </c>
      <c r="J46" s="60" t="inlineStr">
        <is>
          <t>Prospect</t>
        </is>
      </c>
      <c r="K46" s="60" t="inlineStr">
        <is>
          <t>Haute</t>
        </is>
      </c>
      <c r="L46" s="68" t="n">
        <v>45294</v>
      </c>
      <c r="M46" s="68" t="n">
        <v>46186</v>
      </c>
      <c r="N46" s="68" t="n">
        <v>46209</v>
      </c>
      <c r="O46" s="62" t="n">
        <v>41000</v>
      </c>
      <c r="P46" s="62" t="n">
        <v>0</v>
      </c>
      <c r="Q46" s="61" t="n">
        <v>4</v>
      </c>
      <c r="R46" s="69">
        <f>IF(M46="","",TODAY()-M46)</f>
        <v/>
      </c>
      <c r="S46" s="69">
        <f>IF(N46="","",IF(N46&lt;TODAY(),"⚠ En retard",IF(N46&lt;=TODAY()+7,"◕ Bientôt","✓ OK")))</f>
        <v/>
      </c>
    </row>
    <row r="47">
      <c r="A47" s="67">
        <f>IF(B47="","",TEXT(ROW()-3,"000"))</f>
        <v/>
      </c>
      <c r="B47" s="70" t="inlineStr">
        <is>
          <t>Forge SAS</t>
        </is>
      </c>
      <c r="C47" s="70" t="inlineStr">
        <is>
          <t>David Slimani</t>
        </is>
      </c>
      <c r="D47" s="70" t="inlineStr">
        <is>
          <t>contact@forge.fr</t>
        </is>
      </c>
      <c r="E47" s="70" t="inlineStr">
        <is>
          <t>05 99 68 19 97</t>
        </is>
      </c>
      <c r="F47" s="70" t="inlineStr">
        <is>
          <t>PME</t>
        </is>
      </c>
      <c r="G47" s="70" t="inlineStr">
        <is>
          <t>Retail</t>
        </is>
      </c>
      <c r="H47" s="70" t="inlineStr">
        <is>
          <t>Grand Est</t>
        </is>
      </c>
      <c r="I47" s="70" t="inlineStr">
        <is>
          <t>Léa Dubois</t>
        </is>
      </c>
      <c r="J47" s="70" t="inlineStr">
        <is>
          <t>En négociation</t>
        </is>
      </c>
      <c r="K47" s="70" t="inlineStr">
        <is>
          <t>Moyenne</t>
        </is>
      </c>
      <c r="L47" s="71" t="n">
        <v>45409</v>
      </c>
      <c r="M47" s="71" t="n">
        <v>46139</v>
      </c>
      <c r="N47" s="71" t="n">
        <v>46143</v>
      </c>
      <c r="O47" s="72" t="n">
        <v>48000</v>
      </c>
      <c r="P47" s="72" t="n">
        <v>0</v>
      </c>
      <c r="Q47" s="73" t="n">
        <v>5</v>
      </c>
      <c r="R47" s="69">
        <f>IF(M47="","",TODAY()-M47)</f>
        <v/>
      </c>
      <c r="S47" s="69">
        <f>IF(N47="","",IF(N47&lt;TODAY(),"⚠ En retard",IF(N47&lt;=TODAY()+7,"◕ Bientôt","✓ OK")))</f>
        <v/>
      </c>
    </row>
    <row r="48">
      <c r="A48" s="67">
        <f>IF(B48="","",TEXT(ROW()-3,"000"))</f>
        <v/>
      </c>
      <c r="B48" s="60" t="inlineStr">
        <is>
          <t>Gravité Industries</t>
        </is>
      </c>
      <c r="C48" s="60" t="inlineStr">
        <is>
          <t>Marc Khaled</t>
        </is>
      </c>
      <c r="D48" s="60" t="inlineStr">
        <is>
          <t>contact@gravite.fr</t>
        </is>
      </c>
      <c r="E48" s="60" t="inlineStr">
        <is>
          <t>05 86 82 46 66</t>
        </is>
      </c>
      <c r="F48" s="60" t="inlineStr">
        <is>
          <t>Grand Compte</t>
        </is>
      </c>
      <c r="G48" s="60" t="inlineStr">
        <is>
          <t>BTP</t>
        </is>
      </c>
      <c r="H48" s="60" t="inlineStr">
        <is>
          <t>Bretagne</t>
        </is>
      </c>
      <c r="I48" s="60" t="inlineStr">
        <is>
          <t>Léa Dubois</t>
        </is>
      </c>
      <c r="J48" s="60" t="inlineStr">
        <is>
          <t>En négociation</t>
        </is>
      </c>
      <c r="K48" s="60" t="inlineStr">
        <is>
          <t>Basse</t>
        </is>
      </c>
      <c r="L48" s="68" t="n">
        <v>45374</v>
      </c>
      <c r="M48" s="68" t="n">
        <v>46092</v>
      </c>
      <c r="N48" s="68" t="n">
        <v>46114</v>
      </c>
      <c r="O48" s="62" t="n">
        <v>120000</v>
      </c>
      <c r="P48" s="62" t="n">
        <v>0</v>
      </c>
      <c r="Q48" s="61" t="n">
        <v>4</v>
      </c>
      <c r="R48" s="69">
        <f>IF(M48="","",TODAY()-M48)</f>
        <v/>
      </c>
      <c r="S48" s="69">
        <f>IF(N48="","",IF(N48&lt;TODAY(),"⚠ En retard",IF(N48&lt;=TODAY()+7,"◕ Bientôt","✓ OK")))</f>
        <v/>
      </c>
    </row>
    <row r="49">
      <c r="A49" s="67">
        <f>IF(B49="","",TEXT(ROW()-3,"000"))</f>
        <v/>
      </c>
      <c r="B49" s="70" t="inlineStr">
        <is>
          <t>Helios SAS</t>
        </is>
      </c>
      <c r="C49" s="70" t="inlineStr">
        <is>
          <t>Inès Nkemba</t>
        </is>
      </c>
      <c r="D49" s="70" t="inlineStr">
        <is>
          <t>contact@helios.fr</t>
        </is>
      </c>
      <c r="E49" s="70" t="inlineStr">
        <is>
          <t>01 96 44 83 15</t>
        </is>
      </c>
      <c r="F49" s="70" t="inlineStr">
        <is>
          <t>TPE</t>
        </is>
      </c>
      <c r="G49" s="70" t="inlineStr">
        <is>
          <t>Services</t>
        </is>
      </c>
      <c r="H49" s="70" t="inlineStr">
        <is>
          <t>Occitanie</t>
        </is>
      </c>
      <c r="I49" s="70" t="inlineStr">
        <is>
          <t>Karim Benali</t>
        </is>
      </c>
      <c r="J49" s="70" t="inlineStr">
        <is>
          <t>Actif</t>
        </is>
      </c>
      <c r="K49" s="70" t="inlineStr">
        <is>
          <t>Moyenne</t>
        </is>
      </c>
      <c r="L49" s="71" t="n">
        <v>45891</v>
      </c>
      <c r="M49" s="71" t="n">
        <v>46193</v>
      </c>
      <c r="N49" s="71" t="n">
        <v>46219</v>
      </c>
      <c r="O49" s="72" t="n">
        <v>14000</v>
      </c>
      <c r="P49" s="72" t="n">
        <v>12000</v>
      </c>
      <c r="Q49" s="73" t="n">
        <v>4</v>
      </c>
      <c r="R49" s="69">
        <f>IF(M49="","",TODAY()-M49)</f>
        <v/>
      </c>
      <c r="S49" s="69">
        <f>IF(N49="","",IF(N49&lt;TODAY(),"⚠ En retard",IF(N49&lt;=TODAY()+7,"◕ Bientôt","✓ OK")))</f>
        <v/>
      </c>
    </row>
    <row r="50">
      <c r="A50" s="67">
        <f>IF(B50="","",TEXT(ROW()-3,"000"))</f>
        <v/>
      </c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8" t="n"/>
      <c r="M50" s="68" t="n"/>
      <c r="N50" s="68" t="n"/>
      <c r="O50" s="62" t="n"/>
      <c r="P50" s="62" t="n"/>
      <c r="Q50" s="61" t="n"/>
      <c r="R50" s="69">
        <f>IF(M50="","",TODAY()-M50)</f>
        <v/>
      </c>
      <c r="S50" s="69">
        <f>IF(N50="","",IF(N50&lt;TODAY(),"⚠ En retard",IF(N50&lt;=TODAY()+7,"◕ Bientôt","✓ OK")))</f>
        <v/>
      </c>
    </row>
    <row r="51">
      <c r="A51" s="67">
        <f>IF(B51="","",TEXT(ROW()-3,"000"))</f>
        <v/>
      </c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1" t="n"/>
      <c r="M51" s="71" t="n"/>
      <c r="N51" s="71" t="n"/>
      <c r="O51" s="72" t="n"/>
      <c r="P51" s="72" t="n"/>
      <c r="Q51" s="73" t="n"/>
      <c r="R51" s="69">
        <f>IF(M51="","",TODAY()-M51)</f>
        <v/>
      </c>
      <c r="S51" s="69">
        <f>IF(N51="","",IF(N51&lt;TODAY(),"⚠ En retard",IF(N51&lt;=TODAY()+7,"◕ Bientôt","✓ OK")))</f>
        <v/>
      </c>
    </row>
    <row r="52">
      <c r="A52" s="67">
        <f>IF(B52="","",TEXT(ROW()-3,"000"))</f>
        <v/>
      </c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8" t="n"/>
      <c r="M52" s="68" t="n"/>
      <c r="N52" s="68" t="n"/>
      <c r="O52" s="62" t="n"/>
      <c r="P52" s="62" t="n"/>
      <c r="Q52" s="61" t="n"/>
      <c r="R52" s="69">
        <f>IF(M52="","",TODAY()-M52)</f>
        <v/>
      </c>
      <c r="S52" s="69">
        <f>IF(N52="","",IF(N52&lt;TODAY(),"⚠ En retard",IF(N52&lt;=TODAY()+7,"◕ Bientôt","✓ OK")))</f>
        <v/>
      </c>
    </row>
    <row r="53">
      <c r="A53" s="67">
        <f>IF(B53="","",TEXT(ROW()-3,"000"))</f>
        <v/>
      </c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1" t="n"/>
      <c r="M53" s="71" t="n"/>
      <c r="N53" s="71" t="n"/>
      <c r="O53" s="72" t="n"/>
      <c r="P53" s="72" t="n"/>
      <c r="Q53" s="73" t="n"/>
      <c r="R53" s="69">
        <f>IF(M53="","",TODAY()-M53)</f>
        <v/>
      </c>
      <c r="S53" s="69">
        <f>IF(N53="","",IF(N53&lt;TODAY(),"⚠ En retard",IF(N53&lt;=TODAY()+7,"◕ Bientôt","✓ OK")))</f>
        <v/>
      </c>
    </row>
    <row r="54">
      <c r="A54" s="67">
        <f>IF(B54="","",TEXT(ROW()-3,"000"))</f>
        <v/>
      </c>
      <c r="B54" s="60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8" t="n"/>
      <c r="M54" s="68" t="n"/>
      <c r="N54" s="68" t="n"/>
      <c r="O54" s="62" t="n"/>
      <c r="P54" s="62" t="n"/>
      <c r="Q54" s="61" t="n"/>
      <c r="R54" s="69">
        <f>IF(M54="","",TODAY()-M54)</f>
        <v/>
      </c>
      <c r="S54" s="69">
        <f>IF(N54="","",IF(N54&lt;TODAY(),"⚠ En retard",IF(N54&lt;=TODAY()+7,"◕ Bientôt","✓ OK")))</f>
        <v/>
      </c>
    </row>
    <row r="55">
      <c r="A55" s="67">
        <f>IF(B55="","",TEXT(ROW()-3,"000"))</f>
        <v/>
      </c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1" t="n"/>
      <c r="M55" s="71" t="n"/>
      <c r="N55" s="71" t="n"/>
      <c r="O55" s="72" t="n"/>
      <c r="P55" s="72" t="n"/>
      <c r="Q55" s="73" t="n"/>
      <c r="R55" s="69">
        <f>IF(M55="","",TODAY()-M55)</f>
        <v/>
      </c>
      <c r="S55" s="69">
        <f>IF(N55="","",IF(N55&lt;TODAY(),"⚠ En retard",IF(N55&lt;=TODAY()+7,"◕ Bientôt","✓ OK")))</f>
        <v/>
      </c>
    </row>
    <row r="56">
      <c r="A56" s="67">
        <f>IF(B56="","",TEXT(ROW()-3,"000"))</f>
        <v/>
      </c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8" t="n"/>
      <c r="M56" s="68" t="n"/>
      <c r="N56" s="68" t="n"/>
      <c r="O56" s="62" t="n"/>
      <c r="P56" s="62" t="n"/>
      <c r="Q56" s="61" t="n"/>
      <c r="R56" s="69">
        <f>IF(M56="","",TODAY()-M56)</f>
        <v/>
      </c>
      <c r="S56" s="69">
        <f>IF(N56="","",IF(N56&lt;TODAY(),"⚠ En retard",IF(N56&lt;=TODAY()+7,"◕ Bientôt","✓ OK")))</f>
        <v/>
      </c>
    </row>
    <row r="57">
      <c r="A57" s="67">
        <f>IF(B57="","",TEXT(ROW()-3,"000"))</f>
        <v/>
      </c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1" t="n"/>
      <c r="M57" s="71" t="n"/>
      <c r="N57" s="71" t="n"/>
      <c r="O57" s="72" t="n"/>
      <c r="P57" s="72" t="n"/>
      <c r="Q57" s="73" t="n"/>
      <c r="R57" s="69">
        <f>IF(M57="","",TODAY()-M57)</f>
        <v/>
      </c>
      <c r="S57" s="69">
        <f>IF(N57="","",IF(N57&lt;TODAY(),"⚠ En retard",IF(N57&lt;=TODAY()+7,"◕ Bientôt","✓ OK")))</f>
        <v/>
      </c>
    </row>
  </sheetData>
  <mergeCells count="2">
    <mergeCell ref="A2:S2"/>
    <mergeCell ref="A1:S1"/>
  </mergeCells>
  <conditionalFormatting sqref="J4:J57">
    <cfRule type="cellIs" priority="1" operator="equal" dxfId="0">
      <formula>"Actif"</formula>
    </cfRule>
    <cfRule type="cellIs" priority="2" operator="equal" dxfId="1">
      <formula>"Perdu"</formula>
    </cfRule>
    <cfRule type="cellIs" priority="3" operator="equal" dxfId="2">
      <formula>"En négociation"</formula>
    </cfRule>
    <cfRule type="cellIs" priority="4" operator="equal" dxfId="3">
      <formula>"Prospect"</formula>
    </cfRule>
    <cfRule type="cellIs" priority="5" operator="equal" dxfId="4">
      <formula>"Inactif"</formula>
    </cfRule>
  </conditionalFormatting>
  <conditionalFormatting sqref="K4:K57">
    <cfRule type="cellIs" priority="6" operator="equal" dxfId="1">
      <formula>"Haute"</formula>
    </cfRule>
    <cfRule type="cellIs" priority="7" operator="equal" dxfId="5">
      <formula>"Moyenne"</formula>
    </cfRule>
  </conditionalFormatting>
  <conditionalFormatting sqref="S4:S57">
    <cfRule type="cellIs" priority="8" operator="containsText" dxfId="6">
      <formula>"retard"</formula>
    </cfRule>
    <cfRule type="expression" priority="9" dxfId="7">
      <formula>ISNUMBER(SEARCH("Bient",S4))</formula>
    </cfRule>
    <cfRule type="expression" priority="10" dxfId="8">
      <formula>ISNUMBER(SEARCH("OK",S4))</formula>
    </cfRule>
  </conditionalFormatting>
  <conditionalFormatting sqref="Q4:Q57">
    <cfRule type="colorScale" priority="11">
      <colorScale>
        <cfvo type="num" val="1"/>
        <cfvo type="num" val="3"/>
        <cfvo type="num" val="5"/>
        <color rgb="00F5B7B1"/>
        <color rgb="00FCF3CF"/>
        <color rgb="00ABEBC6"/>
      </colorScale>
    </cfRule>
  </conditionalFormatting>
  <conditionalFormatting sqref="P4:P57">
    <cfRule type="dataBar" priority="12">
      <dataBar>
        <cfvo type="min"/>
        <cfvo type="max"/>
        <color rgb="002F6FB0"/>
      </dataBar>
    </cfRule>
  </conditionalFormatting>
  <dataValidations count="7">
    <dataValidation sqref="F4:F57" showDropDown="0" showInputMessage="0" showErrorMessage="0" allowBlank="1" errorTitle="Valeur non valide" error="Choisissez une valeur dans la liste." type="list">
      <formula1>=lst_Segment</formula1>
    </dataValidation>
    <dataValidation sqref="G4:G57" showDropDown="0" showInputMessage="0" showErrorMessage="0" allowBlank="1" errorTitle="Valeur non valide" error="Choisissez une valeur dans la liste." type="list">
      <formula1>=lst_Secteur</formula1>
    </dataValidation>
    <dataValidation sqref="H4:H57" showDropDown="0" showInputMessage="0" showErrorMessage="0" allowBlank="1" errorTitle="Valeur non valide" error="Choisissez une valeur dans la liste." type="list">
      <formula1>=lst_Region</formula1>
    </dataValidation>
    <dataValidation sqref="I4:I57" showDropDown="0" showInputMessage="0" showErrorMessage="0" allowBlank="1" errorTitle="Valeur non valide" error="Choisissez une valeur dans la liste." type="list">
      <formula1>=lst_Commercial</formula1>
    </dataValidation>
    <dataValidation sqref="J4:J57" showDropDown="0" showInputMessage="0" showErrorMessage="0" allowBlank="1" errorTitle="Valeur non valide" error="Choisissez une valeur dans la liste." type="list">
      <formula1>=lst_Statut</formula1>
    </dataValidation>
    <dataValidation sqref="K4:K57" showDropDown="0" showInputMessage="0" showErrorMessage="0" allowBlank="1" errorTitle="Valeur non valide" error="Choisissez une valeur dans la liste." type="list">
      <formula1>=lst_Priorite</formula1>
    </dataValidation>
    <dataValidation sqref="Q4:Q57" showDropDown="0" showInputMessage="0" showErrorMessage="0" allowBlank="1" error="Note de 1 à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4" customWidth="1" min="4" max="4"/>
    <col width="46" customWidth="1" min="5" max="5"/>
    <col width="15" customWidth="1" min="6" max="6"/>
    <col width="26" customWidth="1" min="7" max="7"/>
  </cols>
  <sheetData>
    <row r="1" ht="36" customHeight="1">
      <c r="A1" s="64" t="inlineStr">
        <is>
          <t xml:space="preserve">  JOURNAL DES INTERACTIONS &amp; RELANCES</t>
        </is>
      </c>
    </row>
    <row r="3" ht="26" customHeight="1">
      <c r="A3" s="74" t="inlineStr">
        <is>
          <t>Date</t>
        </is>
      </c>
      <c r="B3" s="74" t="inlineStr">
        <is>
          <t>Entreprise</t>
        </is>
      </c>
      <c r="C3" s="74" t="inlineStr">
        <is>
          <t>Commercial</t>
        </is>
      </c>
      <c r="D3" s="74" t="inlineStr">
        <is>
          <t>Canal</t>
        </is>
      </c>
      <c r="E3" s="74" t="inlineStr">
        <is>
          <t>Objet / Note</t>
        </is>
      </c>
      <c r="F3" s="74" t="inlineStr">
        <is>
          <t>Résultat</t>
        </is>
      </c>
      <c r="G3" s="74" t="inlineStr">
        <is>
          <t>Prochaine action</t>
        </is>
      </c>
    </row>
    <row r="4" ht="22" customHeight="1">
      <c r="A4" s="75" t="n">
        <v>46210</v>
      </c>
      <c r="B4" s="76" t="inlineStr">
        <is>
          <t>Xenon &amp; Associés</t>
        </is>
      </c>
      <c r="C4" s="76" t="inlineStr">
        <is>
          <t>Thomas Petit</t>
        </is>
      </c>
      <c r="D4" s="76" t="inlineStr">
        <is>
          <t>LinkedIn</t>
        </is>
      </c>
      <c r="E4" s="77" t="inlineStr">
        <is>
          <t>Suivi satisfaction client.</t>
        </is>
      </c>
      <c r="F4" s="76" t="inlineStr">
        <is>
          <t>Sans suite</t>
        </is>
      </c>
      <c r="G4" s="76" t="inlineStr">
        <is>
          <t>Fixer un rendez-vous</t>
        </is>
      </c>
    </row>
    <row r="5" ht="22" customHeight="1">
      <c r="A5" s="78" t="n">
        <v>46210</v>
      </c>
      <c r="B5" s="79" t="inlineStr">
        <is>
          <t>Doré &amp; Associés</t>
        </is>
      </c>
      <c r="C5" s="79" t="inlineStr">
        <is>
          <t>Sophie Martin</t>
        </is>
      </c>
      <c r="D5" s="79" t="inlineStr">
        <is>
          <t>LinkedIn</t>
        </is>
      </c>
      <c r="E5" s="80" t="inlineStr">
        <is>
          <t>Négociation tarifaire en cours.</t>
        </is>
      </c>
      <c r="F5" s="79" t="inlineStr">
        <is>
          <t>Injoignable</t>
        </is>
      </c>
      <c r="G5" s="79" t="inlineStr">
        <is>
          <t>Rappeler</t>
        </is>
      </c>
    </row>
    <row r="6" ht="22" customHeight="1">
      <c r="A6" s="75" t="n">
        <v>46209</v>
      </c>
      <c r="B6" s="76" t="inlineStr">
        <is>
          <t>Forge SAS</t>
        </is>
      </c>
      <c r="C6" s="76" t="inlineStr">
        <is>
          <t>Léa Dubois</t>
        </is>
      </c>
      <c r="D6" s="76" t="inlineStr">
        <is>
          <t>Téléphone</t>
        </is>
      </c>
      <c r="E6" s="77" t="inlineStr">
        <is>
          <t>Client à requalifier, peu réactif.</t>
        </is>
      </c>
      <c r="F6" s="76" t="inlineStr">
        <is>
          <t>À rappeler</t>
        </is>
      </c>
      <c r="G6" s="76" t="inlineStr">
        <is>
          <t>Relancer sous 7 jours</t>
        </is>
      </c>
    </row>
    <row r="7" ht="22" customHeight="1">
      <c r="A7" s="78" t="n">
        <v>46204</v>
      </c>
      <c r="B7" s="79" t="inlineStr">
        <is>
          <t>Titan &amp; Associés</t>
        </is>
      </c>
      <c r="C7" s="79" t="inlineStr">
        <is>
          <t>Karim Benali</t>
        </is>
      </c>
      <c r="D7" s="79" t="inlineStr">
        <is>
          <t>Visio</t>
        </is>
      </c>
      <c r="E7" s="80" t="inlineStr">
        <is>
          <t>Renouvellement de contrat évoqué.</t>
        </is>
      </c>
      <c r="F7" s="79" t="inlineStr">
        <is>
          <t>Signé</t>
        </is>
      </c>
      <c r="G7" s="79" t="inlineStr">
        <is>
          <t>Proposer une session</t>
        </is>
      </c>
    </row>
    <row r="8" ht="22" customHeight="1">
      <c r="A8" s="75" t="n">
        <v>46202</v>
      </c>
      <c r="B8" s="76" t="inlineStr">
        <is>
          <t>Aurora Santé</t>
        </is>
      </c>
      <c r="C8" s="76" t="inlineStr">
        <is>
          <t>Sophie Martin</t>
        </is>
      </c>
      <c r="D8" s="76" t="inlineStr">
        <is>
          <t>Téléphone</t>
        </is>
      </c>
      <c r="E8" s="77" t="inlineStr">
        <is>
          <t>Prise de rendez-vous pour la semaine prochaine.</t>
        </is>
      </c>
      <c r="F8" s="76" t="inlineStr">
        <is>
          <t>Sans suite</t>
        </is>
      </c>
      <c r="G8" s="76" t="inlineStr">
        <is>
          <t>Rappeler</t>
        </is>
      </c>
    </row>
    <row r="9" ht="22" customHeight="1">
      <c r="A9" s="78" t="n">
        <v>46201</v>
      </c>
      <c r="B9" s="79" t="inlineStr">
        <is>
          <t>Opale Lab</t>
        </is>
      </c>
      <c r="C9" s="79" t="inlineStr">
        <is>
          <t>Thomas Petit</t>
        </is>
      </c>
      <c r="D9" s="79" t="inlineStr">
        <is>
          <t>Rendez-vous</t>
        </is>
      </c>
      <c r="E9" s="80" t="inlineStr">
        <is>
          <t>Relance suite au devis.</t>
        </is>
      </c>
      <c r="F9" s="79" t="inlineStr">
        <is>
          <t>Sans suite</t>
        </is>
      </c>
      <c r="G9" s="79" t="inlineStr">
        <is>
          <t>Relancer sous 7 jours</t>
        </is>
      </c>
    </row>
    <row r="10" ht="22" customHeight="1">
      <c r="A10" s="75" t="n">
        <v>46201</v>
      </c>
      <c r="B10" s="76" t="inlineStr">
        <is>
          <t>Bastion Systems</t>
        </is>
      </c>
      <c r="C10" s="76" t="inlineStr">
        <is>
          <t>Nadia Cohen</t>
        </is>
      </c>
      <c r="D10" s="76" t="inlineStr">
        <is>
          <t>Rendez-vous</t>
        </is>
      </c>
      <c r="E10" s="77" t="inlineStr">
        <is>
          <t>Client à requalifier, peu réactif.</t>
        </is>
      </c>
      <c r="F10" s="76" t="inlineStr">
        <is>
          <t>À rappeler</t>
        </is>
      </c>
      <c r="G10" s="76" t="inlineStr">
        <is>
          <t>Fixer un rendez-vous</t>
        </is>
      </c>
    </row>
    <row r="11" ht="22" customHeight="1">
      <c r="A11" s="78" t="n">
        <v>46201</v>
      </c>
      <c r="B11" s="79" t="inlineStr">
        <is>
          <t>Lumen Mobilier</t>
        </is>
      </c>
      <c r="C11" s="79" t="inlineStr">
        <is>
          <t>Sophie Martin</t>
        </is>
      </c>
      <c r="D11" s="79" t="inlineStr">
        <is>
          <t>Visio</t>
        </is>
      </c>
      <c r="E11" s="80" t="inlineStr">
        <is>
          <t>Point d'avancement, retours positifs.</t>
        </is>
      </c>
      <c r="F11" s="79" t="inlineStr">
        <is>
          <t>À rappeler</t>
        </is>
      </c>
      <c r="G11" s="79" t="inlineStr">
        <is>
          <t>Fixer un rendez-vous</t>
        </is>
      </c>
    </row>
    <row r="12" ht="22" customHeight="1">
      <c r="A12" s="75" t="n">
        <v>46198</v>
      </c>
      <c r="B12" s="76" t="inlineStr">
        <is>
          <t>Isatis Lab</t>
        </is>
      </c>
      <c r="C12" s="76" t="inlineStr">
        <is>
          <t>Léa Dubois</t>
        </is>
      </c>
      <c r="D12" s="76" t="inlineStr">
        <is>
          <t>Email</t>
        </is>
      </c>
      <c r="E12" s="77" t="inlineStr">
        <is>
          <t>Échange sur les besoins de formation.</t>
        </is>
      </c>
      <c r="F12" s="76" t="inlineStr">
        <is>
          <t>Devis envoyé</t>
        </is>
      </c>
      <c r="G12" s="76" t="inlineStr">
        <is>
          <t>Fixer un rendez-vous</t>
        </is>
      </c>
    </row>
    <row r="13" ht="22" customHeight="1">
      <c r="A13" s="78" t="n">
        <v>46197</v>
      </c>
      <c r="B13" s="79" t="inlineStr">
        <is>
          <t>Méridien &amp; Associés</t>
        </is>
      </c>
      <c r="C13" s="79" t="inlineStr">
        <is>
          <t>Sophie Martin</t>
        </is>
      </c>
      <c r="D13" s="79" t="inlineStr">
        <is>
          <t>Téléphone</t>
        </is>
      </c>
      <c r="E13" s="80" t="inlineStr">
        <is>
          <t>Demande d'informations complémentaires.</t>
        </is>
      </c>
      <c r="F13" s="79" t="inlineStr">
        <is>
          <t>À rappeler</t>
        </is>
      </c>
      <c r="G13" s="79" t="inlineStr">
        <is>
          <t>Planifier une démo</t>
        </is>
      </c>
    </row>
    <row r="14" ht="22" customHeight="1">
      <c r="A14" s="75" t="n">
        <v>46197</v>
      </c>
      <c r="B14" s="76" t="inlineStr">
        <is>
          <t>Solaris Studio</t>
        </is>
      </c>
      <c r="C14" s="76" t="inlineStr">
        <is>
          <t>Thomas Petit</t>
        </is>
      </c>
      <c r="D14" s="76" t="inlineStr">
        <is>
          <t>Téléphone</t>
        </is>
      </c>
      <c r="E14" s="77" t="inlineStr">
        <is>
          <t>Client à requalifier, peu réactif.</t>
        </is>
      </c>
      <c r="F14" s="76" t="inlineStr">
        <is>
          <t>Injoignable</t>
        </is>
      </c>
      <c r="G14" s="76" t="inlineStr">
        <is>
          <t>Relancer sous 7 jours</t>
        </is>
      </c>
    </row>
    <row r="15" ht="22" customHeight="1">
      <c r="A15" s="78" t="n">
        <v>46196</v>
      </c>
      <c r="B15" s="79" t="inlineStr">
        <is>
          <t>Opale Lab</t>
        </is>
      </c>
      <c r="C15" s="79" t="inlineStr">
        <is>
          <t>Thomas Petit</t>
        </is>
      </c>
      <c r="D15" s="79" t="inlineStr">
        <is>
          <t>Email</t>
        </is>
      </c>
      <c r="E15" s="80" t="inlineStr">
        <is>
          <t>Échange sur les besoins de formation.</t>
        </is>
      </c>
      <c r="F15" s="79" t="inlineStr">
        <is>
          <t>Sans suite</t>
        </is>
      </c>
      <c r="G15" s="79" t="inlineStr">
        <is>
          <t>Proposer une session</t>
        </is>
      </c>
    </row>
    <row r="16" ht="22" customHeight="1">
      <c r="A16" s="75" t="n">
        <v>46192</v>
      </c>
      <c r="B16" s="76" t="inlineStr">
        <is>
          <t>Belmont Partners</t>
        </is>
      </c>
      <c r="C16" s="76" t="inlineStr">
        <is>
          <t>Sophie Martin</t>
        </is>
      </c>
      <c r="D16" s="76" t="inlineStr">
        <is>
          <t>LinkedIn</t>
        </is>
      </c>
      <c r="E16" s="77" t="inlineStr">
        <is>
          <t>Premier contact qualifié.</t>
        </is>
      </c>
      <c r="F16" s="76" t="inlineStr">
        <is>
          <t>Injoignable</t>
        </is>
      </c>
      <c r="G16" s="76" t="inlineStr">
        <is>
          <t>Rappeler</t>
        </is>
      </c>
    </row>
    <row r="17" ht="22" customHeight="1">
      <c r="A17" s="78" t="n">
        <v>46190</v>
      </c>
      <c r="B17" s="79" t="inlineStr">
        <is>
          <t>Céleste SAS</t>
        </is>
      </c>
      <c r="C17" s="79" t="inlineStr">
        <is>
          <t>Nadia Cohen</t>
        </is>
      </c>
      <c r="D17" s="79" t="inlineStr">
        <is>
          <t>Visio</t>
        </is>
      </c>
      <c r="E17" s="80" t="inlineStr">
        <is>
          <t>Négociation tarifaire en cours.</t>
        </is>
      </c>
      <c r="F17" s="79" t="inlineStr">
        <is>
          <t>Devis envoyé</t>
        </is>
      </c>
      <c r="G17" s="79" t="inlineStr">
        <is>
          <t>Envoyer le bon de commande</t>
        </is>
      </c>
    </row>
    <row r="18" ht="22" customHeight="1">
      <c r="A18" s="75" t="n">
        <v>46188</v>
      </c>
      <c r="B18" s="76" t="inlineStr">
        <is>
          <t>Ulys &amp; Associés</t>
        </is>
      </c>
      <c r="C18" s="76" t="inlineStr">
        <is>
          <t>Léa Dubois</t>
        </is>
      </c>
      <c r="D18" s="76" t="inlineStr">
        <is>
          <t>Visio</t>
        </is>
      </c>
      <c r="E18" s="77" t="inlineStr">
        <is>
          <t>Échange sur les besoins de formation.</t>
        </is>
      </c>
      <c r="F18" s="76" t="inlineStr">
        <is>
          <t>À rappeler</t>
        </is>
      </c>
      <c r="G18" s="76" t="inlineStr">
        <is>
          <t>Clôturer</t>
        </is>
      </c>
    </row>
    <row r="19" ht="22" customHeight="1">
      <c r="A19" s="78" t="n">
        <v>46187</v>
      </c>
      <c r="B19" s="79" t="inlineStr">
        <is>
          <t>Titan &amp; Associés</t>
        </is>
      </c>
      <c r="C19" s="79" t="inlineStr">
        <is>
          <t>Karim Benali</t>
        </is>
      </c>
      <c r="D19" s="79" t="inlineStr">
        <is>
          <t>Téléphone</t>
        </is>
      </c>
      <c r="E19" s="80" t="inlineStr">
        <is>
          <t>Négociation tarifaire en cours.</t>
        </is>
      </c>
      <c r="F19" s="79" t="inlineStr">
        <is>
          <t>Sans suite</t>
        </is>
      </c>
      <c r="G19" s="79" t="inlineStr">
        <is>
          <t>Envoyer le bon de commande</t>
        </is>
      </c>
    </row>
    <row r="20" ht="22" customHeight="1">
      <c r="A20" s="75" t="n">
        <v>46185</v>
      </c>
      <c r="B20" s="76" t="inlineStr">
        <is>
          <t>Nexora Digital</t>
        </is>
      </c>
      <c r="C20" s="76" t="inlineStr">
        <is>
          <t>Nadia Cohen</t>
        </is>
      </c>
      <c r="D20" s="76" t="inlineStr">
        <is>
          <t>Email</t>
        </is>
      </c>
      <c r="E20" s="77" t="inlineStr">
        <is>
          <t>Prise de rendez-vous pour la semaine prochaine.</t>
        </is>
      </c>
      <c r="F20" s="76" t="inlineStr">
        <is>
          <t>Sans suite</t>
        </is>
      </c>
      <c r="G20" s="76" t="inlineStr">
        <is>
          <t>Envoyer le bon de commande</t>
        </is>
      </c>
    </row>
    <row r="21" ht="22" customHeight="1">
      <c r="A21" s="78" t="n">
        <v>46182</v>
      </c>
      <c r="B21" s="79" t="inlineStr">
        <is>
          <t>Forge SAS</t>
        </is>
      </c>
      <c r="C21" s="79" t="inlineStr">
        <is>
          <t>Léa Dubois</t>
        </is>
      </c>
      <c r="D21" s="79" t="inlineStr">
        <is>
          <t>Téléphone</t>
        </is>
      </c>
      <c r="E21" s="80" t="inlineStr">
        <is>
          <t>Démonstration produit réalisée.</t>
        </is>
      </c>
      <c r="F21" s="79" t="inlineStr">
        <is>
          <t>Sans suite</t>
        </is>
      </c>
      <c r="G21" s="79" t="inlineStr">
        <is>
          <t>Fixer un rendez-vous</t>
        </is>
      </c>
    </row>
    <row r="22" ht="22" customHeight="1">
      <c r="A22" s="75" t="n">
        <v>46181</v>
      </c>
      <c r="B22" s="76" t="inlineStr">
        <is>
          <t>Forge SAS</t>
        </is>
      </c>
      <c r="C22" s="76" t="inlineStr">
        <is>
          <t>Léa Dubois</t>
        </is>
      </c>
      <c r="D22" s="76" t="inlineStr">
        <is>
          <t>Rendez-vous</t>
        </is>
      </c>
      <c r="E22" s="77" t="inlineStr">
        <is>
          <t>Premier contact qualifié.</t>
        </is>
      </c>
      <c r="F22" s="76" t="inlineStr">
        <is>
          <t>Sans suite</t>
        </is>
      </c>
      <c r="G22" s="76" t="inlineStr">
        <is>
          <t>Relancer sous 7 jours</t>
        </is>
      </c>
    </row>
    <row r="23" ht="22" customHeight="1">
      <c r="A23" s="78" t="n">
        <v>46181</v>
      </c>
      <c r="B23" s="79" t="inlineStr">
        <is>
          <t>Équinoxe Studio</t>
        </is>
      </c>
      <c r="C23" s="79" t="inlineStr">
        <is>
          <t>Sophie Martin</t>
        </is>
      </c>
      <c r="D23" s="79" t="inlineStr">
        <is>
          <t>Email</t>
        </is>
      </c>
      <c r="E23" s="80" t="inlineStr">
        <is>
          <t>Demande d'informations complémentaires.</t>
        </is>
      </c>
      <c r="F23" s="79" t="inlineStr">
        <is>
          <t>Signé</t>
        </is>
      </c>
      <c r="G23" s="79" t="inlineStr">
        <is>
          <t>Envoyer le bon de commande</t>
        </is>
      </c>
    </row>
    <row r="24" ht="22" customHeight="1">
      <c r="A24" s="75" t="n">
        <v>46180</v>
      </c>
      <c r="B24" s="76" t="inlineStr">
        <is>
          <t>Lauren Group</t>
        </is>
      </c>
      <c r="C24" s="76" t="inlineStr">
        <is>
          <t>Thomas Petit</t>
        </is>
      </c>
      <c r="D24" s="76" t="inlineStr">
        <is>
          <t>Rendez-vous</t>
        </is>
      </c>
      <c r="E24" s="77" t="inlineStr">
        <is>
          <t>Point d'avancement, retours positifs.</t>
        </is>
      </c>
      <c r="F24" s="76" t="inlineStr">
        <is>
          <t>Devis envoyé</t>
        </is>
      </c>
      <c r="G24" s="76" t="inlineStr">
        <is>
          <t>Proposer une session</t>
        </is>
      </c>
    </row>
    <row r="25" ht="22" customHeight="1">
      <c r="A25" s="78" t="n">
        <v>46180</v>
      </c>
      <c r="B25" s="79" t="inlineStr">
        <is>
          <t>Delphine &amp; Associés</t>
        </is>
      </c>
      <c r="C25" s="79" t="inlineStr">
        <is>
          <t>Nadia Cohen</t>
        </is>
      </c>
      <c r="D25" s="79" t="inlineStr">
        <is>
          <t>Rendez-vous</t>
        </is>
      </c>
      <c r="E25" s="80" t="inlineStr">
        <is>
          <t>Prise de rendez-vous pour la semaine prochaine.</t>
        </is>
      </c>
      <c r="F25" s="79" t="inlineStr">
        <is>
          <t>Devis envoyé</t>
        </is>
      </c>
      <c r="G25" s="79" t="inlineStr">
        <is>
          <t>Planifier une démo</t>
        </is>
      </c>
    </row>
    <row r="26" ht="22" customHeight="1">
      <c r="A26" s="75" t="n">
        <v>46178</v>
      </c>
      <c r="B26" s="76" t="inlineStr">
        <is>
          <t>Nova Partners</t>
        </is>
      </c>
      <c r="C26" s="76" t="inlineStr">
        <is>
          <t>Sophie Martin</t>
        </is>
      </c>
      <c r="D26" s="76" t="inlineStr">
        <is>
          <t>Email</t>
        </is>
      </c>
      <c r="E26" s="77" t="inlineStr">
        <is>
          <t>Client à requalifier, peu réactif.</t>
        </is>
      </c>
      <c r="F26" s="76" t="inlineStr">
        <is>
          <t>Injoignable</t>
        </is>
      </c>
      <c r="G26" s="76" t="inlineStr">
        <is>
          <t>Clôturer</t>
        </is>
      </c>
    </row>
    <row r="27" ht="22" customHeight="1">
      <c r="A27" s="78" t="n">
        <v>46173</v>
      </c>
      <c r="B27" s="79" t="inlineStr">
        <is>
          <t>Saphir Lab</t>
        </is>
      </c>
      <c r="C27" s="79" t="inlineStr">
        <is>
          <t>Thomas Petit</t>
        </is>
      </c>
      <c r="D27" s="79" t="inlineStr">
        <is>
          <t>Téléphone</t>
        </is>
      </c>
      <c r="E27" s="80" t="inlineStr">
        <is>
          <t>Demande d'informations complémentaires.</t>
        </is>
      </c>
      <c r="F27" s="79" t="inlineStr">
        <is>
          <t>Injoignable</t>
        </is>
      </c>
      <c r="G27" s="79" t="inlineStr">
        <is>
          <t>Planifier une démo</t>
        </is>
      </c>
    </row>
    <row r="28" ht="22" customHeight="1">
      <c r="A28" s="75" t="n">
        <v>46172</v>
      </c>
      <c r="B28" s="76" t="inlineStr">
        <is>
          <t>Cirrus Partners</t>
        </is>
      </c>
      <c r="C28" s="76" t="inlineStr">
        <is>
          <t>Léa Dubois</t>
        </is>
      </c>
      <c r="D28" s="76" t="inlineStr">
        <is>
          <t>Email</t>
        </is>
      </c>
      <c r="E28" s="77" t="inlineStr">
        <is>
          <t>Envoi de la proposition commerciale.</t>
        </is>
      </c>
      <c r="F28" s="76" t="inlineStr">
        <is>
          <t>Devis envoyé</t>
        </is>
      </c>
      <c r="G28" s="76" t="inlineStr">
        <is>
          <t>Proposer une session</t>
        </is>
      </c>
    </row>
    <row r="29" ht="22" customHeight="1">
      <c r="A29" s="78" t="n">
        <v>46170</v>
      </c>
      <c r="B29" s="79" t="inlineStr">
        <is>
          <t>Onyx Conseil</t>
        </is>
      </c>
      <c r="C29" s="79" t="inlineStr">
        <is>
          <t>Thomas Petit</t>
        </is>
      </c>
      <c r="D29" s="79" t="inlineStr">
        <is>
          <t>LinkedIn</t>
        </is>
      </c>
      <c r="E29" s="80" t="inlineStr">
        <is>
          <t>Demande d'informations complémentaires.</t>
        </is>
      </c>
      <c r="F29" s="79" t="inlineStr">
        <is>
          <t>Signé</t>
        </is>
      </c>
      <c r="G29" s="79" t="inlineStr">
        <is>
          <t>Fixer un rendez-vous</t>
        </is>
      </c>
    </row>
    <row r="30" ht="22" customHeight="1">
      <c r="A30" s="75" t="n">
        <v>46169</v>
      </c>
      <c r="B30" s="76" t="inlineStr">
        <is>
          <t>Comète SAS</t>
        </is>
      </c>
      <c r="C30" s="76" t="inlineStr">
        <is>
          <t>Sophie Martin</t>
        </is>
      </c>
      <c r="D30" s="76" t="inlineStr">
        <is>
          <t>Email</t>
        </is>
      </c>
      <c r="E30" s="77" t="inlineStr">
        <is>
          <t>Négociation tarifaire en cours.</t>
        </is>
      </c>
      <c r="F30" s="76" t="inlineStr">
        <is>
          <t>Signé</t>
        </is>
      </c>
      <c r="G30" s="76" t="inlineStr">
        <is>
          <t>Planifier une démo</t>
        </is>
      </c>
    </row>
    <row r="31" ht="22" customHeight="1">
      <c r="A31" s="78" t="n">
        <v>46169</v>
      </c>
      <c r="B31" s="79" t="inlineStr">
        <is>
          <t>Galion Partners</t>
        </is>
      </c>
      <c r="C31" s="79" t="inlineStr">
        <is>
          <t>Thomas Petit</t>
        </is>
      </c>
      <c r="D31" s="79" t="inlineStr">
        <is>
          <t>Rendez-vous</t>
        </is>
      </c>
      <c r="E31" s="80" t="inlineStr">
        <is>
          <t>Démonstration produit réalisée.</t>
        </is>
      </c>
      <c r="F31" s="79" t="inlineStr">
        <is>
          <t>À rappeler</t>
        </is>
      </c>
      <c r="G31" s="79" t="inlineStr">
        <is>
          <t>Rappeler</t>
        </is>
      </c>
    </row>
    <row r="32" ht="22" customHeight="1">
      <c r="A32" s="75" t="n">
        <v>46169</v>
      </c>
      <c r="B32" s="76" t="inlineStr">
        <is>
          <t>Horizon SAS</t>
        </is>
      </c>
      <c r="C32" s="76" t="inlineStr">
        <is>
          <t>Thomas Petit</t>
        </is>
      </c>
      <c r="D32" s="76" t="inlineStr">
        <is>
          <t>Email</t>
        </is>
      </c>
      <c r="E32" s="77" t="inlineStr">
        <is>
          <t>Prise de rendez-vous pour la semaine prochaine.</t>
        </is>
      </c>
      <c r="F32" s="76" t="inlineStr">
        <is>
          <t>Signé</t>
        </is>
      </c>
      <c r="G32" s="76" t="inlineStr">
        <is>
          <t>Planifier une démo</t>
        </is>
      </c>
    </row>
    <row r="33" ht="22" customHeight="1">
      <c r="A33" s="78" t="n">
        <v>46168</v>
      </c>
      <c r="B33" s="79" t="inlineStr">
        <is>
          <t>Solaris Studio</t>
        </is>
      </c>
      <c r="C33" s="79" t="inlineStr">
        <is>
          <t>Thomas Petit</t>
        </is>
      </c>
      <c r="D33" s="79" t="inlineStr">
        <is>
          <t>Email</t>
        </is>
      </c>
      <c r="E33" s="80" t="inlineStr">
        <is>
          <t>Présentation de l'offre Premium.</t>
        </is>
      </c>
      <c r="F33" s="79" t="inlineStr">
        <is>
          <t>À rappeler</t>
        </is>
      </c>
      <c r="G33" s="79" t="inlineStr">
        <is>
          <t>Clôturer</t>
        </is>
      </c>
    </row>
    <row r="34" ht="22" customHeight="1">
      <c r="A34" s="75" t="n">
        <v>46166</v>
      </c>
      <c r="B34" s="76" t="inlineStr">
        <is>
          <t>Falcon Conseil</t>
        </is>
      </c>
      <c r="C34" s="76" t="inlineStr">
        <is>
          <t>Sophie Martin</t>
        </is>
      </c>
      <c r="D34" s="76" t="inlineStr">
        <is>
          <t>Visio</t>
        </is>
      </c>
      <c r="E34" s="77" t="inlineStr">
        <is>
          <t>Présentation de l'offre Premium.</t>
        </is>
      </c>
      <c r="F34" s="76" t="inlineStr">
        <is>
          <t>Injoignable</t>
        </is>
      </c>
      <c r="G34" s="76" t="inlineStr">
        <is>
          <t>Envoyer le bon de commande</t>
        </is>
      </c>
    </row>
    <row r="35" ht="22" customHeight="1">
      <c r="A35" s="78" t="n">
        <v>46163</v>
      </c>
      <c r="B35" s="79" t="inlineStr">
        <is>
          <t>Vertige Tech</t>
        </is>
      </c>
      <c r="C35" s="79" t="inlineStr">
        <is>
          <t>Léa Dubois</t>
        </is>
      </c>
      <c r="D35" s="79" t="inlineStr">
        <is>
          <t>Visio</t>
        </is>
      </c>
      <c r="E35" s="80" t="inlineStr">
        <is>
          <t>Négociation tarifaire en cours.</t>
        </is>
      </c>
      <c r="F35" s="79" t="inlineStr">
        <is>
          <t>À rappeler</t>
        </is>
      </c>
      <c r="G35" s="79" t="inlineStr">
        <is>
          <t>Clôturer</t>
        </is>
      </c>
    </row>
    <row r="36" ht="22" customHeight="1">
      <c r="A36" s="75" t="n">
        <v>46161</v>
      </c>
      <c r="B36" s="76" t="inlineStr">
        <is>
          <t>Delphine &amp; Associés</t>
        </is>
      </c>
      <c r="C36" s="76" t="inlineStr">
        <is>
          <t>Nadia Cohen</t>
        </is>
      </c>
      <c r="D36" s="76" t="inlineStr">
        <is>
          <t>LinkedIn</t>
        </is>
      </c>
      <c r="E36" s="77" t="inlineStr">
        <is>
          <t>Premier contact qualifié.</t>
        </is>
      </c>
      <c r="F36" s="76" t="inlineStr">
        <is>
          <t>Injoignable</t>
        </is>
      </c>
      <c r="G36" s="76" t="inlineStr">
        <is>
          <t>Envoyer le bon de commande</t>
        </is>
      </c>
    </row>
    <row r="37" ht="22" customHeight="1">
      <c r="A37" s="78" t="n">
        <v>46161</v>
      </c>
      <c r="B37" s="79" t="inlineStr">
        <is>
          <t>Zephyr Partners</t>
        </is>
      </c>
      <c r="C37" s="79" t="inlineStr">
        <is>
          <t>Thomas Petit</t>
        </is>
      </c>
      <c r="D37" s="79" t="inlineStr">
        <is>
          <t>Visio</t>
        </is>
      </c>
      <c r="E37" s="80" t="inlineStr">
        <is>
          <t>Démonstration produit réalisée.</t>
        </is>
      </c>
      <c r="F37" s="79" t="inlineStr">
        <is>
          <t>Devis envoyé</t>
        </is>
      </c>
      <c r="G37" s="79" t="inlineStr">
        <is>
          <t>Clôturer</t>
        </is>
      </c>
    </row>
    <row r="38" ht="22" customHeight="1">
      <c r="A38" s="75" t="n">
        <v>46160</v>
      </c>
      <c r="B38" s="76" t="inlineStr">
        <is>
          <t>Rubis Group</t>
        </is>
      </c>
      <c r="C38" s="76" t="inlineStr">
        <is>
          <t>Sophie Martin</t>
        </is>
      </c>
      <c r="D38" s="76" t="inlineStr">
        <is>
          <t>LinkedIn</t>
        </is>
      </c>
      <c r="E38" s="77" t="inlineStr">
        <is>
          <t>Suivi satisfaction client.</t>
        </is>
      </c>
      <c r="F38" s="76" t="inlineStr">
        <is>
          <t>Injoignable</t>
        </is>
      </c>
      <c r="G38" s="76" t="inlineStr">
        <is>
          <t>Planifier une démo</t>
        </is>
      </c>
    </row>
    <row r="39" ht="22" customHeight="1">
      <c r="A39" s="78" t="n">
        <v>46159</v>
      </c>
      <c r="B39" s="79" t="inlineStr">
        <is>
          <t>Xenon &amp; Associés</t>
        </is>
      </c>
      <c r="C39" s="79" t="inlineStr">
        <is>
          <t>Thomas Petit</t>
        </is>
      </c>
      <c r="D39" s="79" t="inlineStr">
        <is>
          <t>Email</t>
        </is>
      </c>
      <c r="E39" s="80" t="inlineStr">
        <is>
          <t>Présentation de l'offre Premium.</t>
        </is>
      </c>
      <c r="F39" s="79" t="inlineStr">
        <is>
          <t>Sans suite</t>
        </is>
      </c>
      <c r="G39" s="79" t="inlineStr">
        <is>
          <t>Relancer sous 7 jours</t>
        </is>
      </c>
    </row>
    <row r="40" ht="22" customHeight="1">
      <c r="A40" s="75" t="n">
        <v>46159</v>
      </c>
      <c r="B40" s="76" t="inlineStr">
        <is>
          <t>Delphine &amp; Associés</t>
        </is>
      </c>
      <c r="C40" s="76" t="inlineStr">
        <is>
          <t>Nadia Cohen</t>
        </is>
      </c>
      <c r="D40" s="76" t="inlineStr">
        <is>
          <t>Email</t>
        </is>
      </c>
      <c r="E40" s="77" t="inlineStr">
        <is>
          <t>Client à requalifier, peu réactif.</t>
        </is>
      </c>
      <c r="F40" s="76" t="inlineStr">
        <is>
          <t>Signé</t>
        </is>
      </c>
      <c r="G40" s="76" t="inlineStr">
        <is>
          <t>Fixer un rendez-vous</t>
        </is>
      </c>
    </row>
    <row r="41" ht="22" customHeight="1">
      <c r="A41" s="78" t="n">
        <v>46155</v>
      </c>
      <c r="B41" s="79" t="inlineStr">
        <is>
          <t>Vertige Tech</t>
        </is>
      </c>
      <c r="C41" s="79" t="inlineStr">
        <is>
          <t>Léa Dubois</t>
        </is>
      </c>
      <c r="D41" s="79" t="inlineStr">
        <is>
          <t>Téléphone</t>
        </is>
      </c>
      <c r="E41" s="80" t="inlineStr">
        <is>
          <t>Envoi de la proposition commerciale.</t>
        </is>
      </c>
      <c r="F41" s="79" t="inlineStr">
        <is>
          <t>Injoignable</t>
        </is>
      </c>
      <c r="G41" s="79" t="inlineStr">
        <is>
          <t>Rappeler</t>
        </is>
      </c>
    </row>
    <row r="42" ht="22" customHeight="1">
      <c r="A42" s="75" t="n">
        <v>46151</v>
      </c>
      <c r="B42" s="76" t="inlineStr">
        <is>
          <t>Zephyr Partners</t>
        </is>
      </c>
      <c r="C42" s="76" t="inlineStr">
        <is>
          <t>Thomas Petit</t>
        </is>
      </c>
      <c r="D42" s="76" t="inlineStr">
        <is>
          <t>Rendez-vous</t>
        </is>
      </c>
      <c r="E42" s="77" t="inlineStr">
        <is>
          <t>Validation du bon de commande.</t>
        </is>
      </c>
      <c r="F42" s="76" t="inlineStr">
        <is>
          <t>Signé</t>
        </is>
      </c>
      <c r="G42" s="76" t="inlineStr">
        <is>
          <t>Clôturer</t>
        </is>
      </c>
    </row>
    <row r="43" ht="22" customHeight="1">
      <c r="A43" s="78" t="n">
        <v>46150</v>
      </c>
      <c r="B43" s="79" t="inlineStr">
        <is>
          <t>Vertige Tech</t>
        </is>
      </c>
      <c r="C43" s="79" t="inlineStr">
        <is>
          <t>Léa Dubois</t>
        </is>
      </c>
      <c r="D43" s="79" t="inlineStr">
        <is>
          <t>Visio</t>
        </is>
      </c>
      <c r="E43" s="80" t="inlineStr">
        <is>
          <t>Premier contact qualifié.</t>
        </is>
      </c>
      <c r="F43" s="79" t="inlineStr">
        <is>
          <t>Sans suite</t>
        </is>
      </c>
      <c r="G43" s="79" t="inlineStr">
        <is>
          <t>Planifier une démo</t>
        </is>
      </c>
    </row>
    <row r="44" ht="22" customHeight="1">
      <c r="A44" s="75" t="n">
        <v>46150</v>
      </c>
      <c r="B44" s="76" t="inlineStr">
        <is>
          <t>Gravité Industries</t>
        </is>
      </c>
      <c r="C44" s="76" t="inlineStr">
        <is>
          <t>Léa Dubois</t>
        </is>
      </c>
      <c r="D44" s="76" t="inlineStr">
        <is>
          <t>Email</t>
        </is>
      </c>
      <c r="E44" s="77" t="inlineStr">
        <is>
          <t>Échange sur les besoins de formation.</t>
        </is>
      </c>
      <c r="F44" s="76" t="inlineStr">
        <is>
          <t>Sans suite</t>
        </is>
      </c>
      <c r="G44" s="76" t="inlineStr">
        <is>
          <t>Envoyer le bon de commande</t>
        </is>
      </c>
    </row>
    <row r="45" ht="22" customHeight="1">
      <c r="A45" s="78" t="n">
        <v>46150</v>
      </c>
      <c r="B45" s="79" t="inlineStr">
        <is>
          <t>Solaris Studio</t>
        </is>
      </c>
      <c r="C45" s="79" t="inlineStr">
        <is>
          <t>Thomas Petit</t>
        </is>
      </c>
      <c r="D45" s="79" t="inlineStr">
        <is>
          <t>Visio</t>
        </is>
      </c>
      <c r="E45" s="80" t="inlineStr">
        <is>
          <t>Validation du bon de commande.</t>
        </is>
      </c>
      <c r="F45" s="79" t="inlineStr">
        <is>
          <t>Sans suite</t>
        </is>
      </c>
      <c r="G45" s="79" t="inlineStr">
        <is>
          <t>Planifier une démo</t>
        </is>
      </c>
    </row>
    <row r="46" ht="22" customHeight="1">
      <c r="A46" s="75" t="n">
        <v>46149</v>
      </c>
      <c r="B46" s="76" t="inlineStr">
        <is>
          <t>Nexora Digital</t>
        </is>
      </c>
      <c r="C46" s="76" t="inlineStr">
        <is>
          <t>Nadia Cohen</t>
        </is>
      </c>
      <c r="D46" s="76" t="inlineStr">
        <is>
          <t>Visio</t>
        </is>
      </c>
      <c r="E46" s="77" t="inlineStr">
        <is>
          <t>Échange sur les besoins de formation.</t>
        </is>
      </c>
      <c r="F46" s="76" t="inlineStr">
        <is>
          <t>Injoignable</t>
        </is>
      </c>
      <c r="G46" s="76" t="inlineStr">
        <is>
          <t>Clôturer</t>
        </is>
      </c>
    </row>
    <row r="47" ht="22" customHeight="1">
      <c r="A47" s="78" t="n">
        <v>46145</v>
      </c>
      <c r="B47" s="79" t="inlineStr">
        <is>
          <t>Rubis Group</t>
        </is>
      </c>
      <c r="C47" s="79" t="inlineStr">
        <is>
          <t>Sophie Martin</t>
        </is>
      </c>
      <c r="D47" s="79" t="inlineStr">
        <is>
          <t>Email</t>
        </is>
      </c>
      <c r="E47" s="80" t="inlineStr">
        <is>
          <t>Présentation de l'offre Premium.</t>
        </is>
      </c>
      <c r="F47" s="79" t="inlineStr">
        <is>
          <t>Sans suite</t>
        </is>
      </c>
      <c r="G47" s="79" t="inlineStr">
        <is>
          <t>Envoyer le bon de commande</t>
        </is>
      </c>
    </row>
    <row r="48" ht="22" customHeight="1">
      <c r="A48" s="75" t="n">
        <v>46145</v>
      </c>
      <c r="B48" s="76" t="inlineStr">
        <is>
          <t>Lumen Mobilier</t>
        </is>
      </c>
      <c r="C48" s="76" t="inlineStr">
        <is>
          <t>Sophie Martin</t>
        </is>
      </c>
      <c r="D48" s="76" t="inlineStr">
        <is>
          <t>Rendez-vous</t>
        </is>
      </c>
      <c r="E48" s="77" t="inlineStr">
        <is>
          <t>Présentation de l'offre Premium.</t>
        </is>
      </c>
      <c r="F48" s="76" t="inlineStr">
        <is>
          <t>Signé</t>
        </is>
      </c>
      <c r="G48" s="76" t="inlineStr">
        <is>
          <t>Fixer un rendez-vous</t>
        </is>
      </c>
    </row>
    <row r="49" ht="22" customHeight="1">
      <c r="A49" s="78" t="n">
        <v>46141</v>
      </c>
      <c r="B49" s="79" t="inlineStr">
        <is>
          <t>Solaris Studio</t>
        </is>
      </c>
      <c r="C49" s="79" t="inlineStr">
        <is>
          <t>Thomas Petit</t>
        </is>
      </c>
      <c r="D49" s="79" t="inlineStr">
        <is>
          <t>Email</t>
        </is>
      </c>
      <c r="E49" s="80" t="inlineStr">
        <is>
          <t>Demande d'informations complémentaires.</t>
        </is>
      </c>
      <c r="F49" s="79" t="inlineStr">
        <is>
          <t>À rappeler</t>
        </is>
      </c>
      <c r="G49" s="79" t="inlineStr">
        <is>
          <t>Planifier une démo</t>
        </is>
      </c>
    </row>
    <row r="50" ht="22" customHeight="1">
      <c r="A50" s="75" t="n">
        <v>46138</v>
      </c>
      <c r="B50" s="76" t="inlineStr">
        <is>
          <t>Horizon SAS</t>
        </is>
      </c>
      <c r="C50" s="76" t="inlineStr">
        <is>
          <t>Thomas Petit</t>
        </is>
      </c>
      <c r="D50" s="76" t="inlineStr">
        <is>
          <t>Rendez-vous</t>
        </is>
      </c>
      <c r="E50" s="77" t="inlineStr">
        <is>
          <t>Échange sur les besoins de formation.</t>
        </is>
      </c>
      <c r="F50" s="76" t="inlineStr">
        <is>
          <t>Sans suite</t>
        </is>
      </c>
      <c r="G50" s="76" t="inlineStr">
        <is>
          <t>Envoyer le devis</t>
        </is>
      </c>
    </row>
    <row r="51" ht="22" customHeight="1">
      <c r="A51" s="78" t="n">
        <v>46137</v>
      </c>
      <c r="B51" s="79" t="inlineStr">
        <is>
          <t>Méridien &amp; Associés</t>
        </is>
      </c>
      <c r="C51" s="79" t="inlineStr">
        <is>
          <t>Sophie Martin</t>
        </is>
      </c>
      <c r="D51" s="79" t="inlineStr">
        <is>
          <t>LinkedIn</t>
        </is>
      </c>
      <c r="E51" s="80" t="inlineStr">
        <is>
          <t>Renouvellement de contrat évoqué.</t>
        </is>
      </c>
      <c r="F51" s="79" t="inlineStr">
        <is>
          <t>Devis envoyé</t>
        </is>
      </c>
      <c r="G51" s="79" t="inlineStr">
        <is>
          <t>Envoyer le devis</t>
        </is>
      </c>
    </row>
    <row r="52" ht="22" customHeight="1">
      <c r="A52" s="75" t="n">
        <v>46133</v>
      </c>
      <c r="B52" s="76" t="inlineStr">
        <is>
          <t>Helios SAS</t>
        </is>
      </c>
      <c r="C52" s="76" t="inlineStr">
        <is>
          <t>Karim Benali</t>
        </is>
      </c>
      <c r="D52" s="76" t="inlineStr">
        <is>
          <t>Visio</t>
        </is>
      </c>
      <c r="E52" s="77" t="inlineStr">
        <is>
          <t>Renouvellement de contrat évoqué.</t>
        </is>
      </c>
      <c r="F52" s="76" t="inlineStr">
        <is>
          <t>À rappeler</t>
        </is>
      </c>
      <c r="G52" s="76" t="inlineStr">
        <is>
          <t>Proposer une session</t>
        </is>
      </c>
    </row>
    <row r="53" ht="22" customHeight="1">
      <c r="A53" s="78" t="n">
        <v>46132</v>
      </c>
      <c r="B53" s="79" t="inlineStr">
        <is>
          <t>Dune &amp; Associés</t>
        </is>
      </c>
      <c r="C53" s="79" t="inlineStr">
        <is>
          <t>Karim Benali</t>
        </is>
      </c>
      <c r="D53" s="79" t="inlineStr">
        <is>
          <t>Email</t>
        </is>
      </c>
      <c r="E53" s="80" t="inlineStr">
        <is>
          <t>Demande d'informations complémentaires.</t>
        </is>
      </c>
      <c r="F53" s="79" t="inlineStr">
        <is>
          <t>Signé</t>
        </is>
      </c>
      <c r="G53" s="79" t="inlineStr">
        <is>
          <t>Fixer un rendez-vous</t>
        </is>
      </c>
    </row>
    <row r="54" ht="22" customHeight="1">
      <c r="A54" s="75" t="n">
        <v>46130</v>
      </c>
      <c r="B54" s="76" t="inlineStr">
        <is>
          <t>Cirrus Partners</t>
        </is>
      </c>
      <c r="C54" s="76" t="inlineStr">
        <is>
          <t>Léa Dubois</t>
        </is>
      </c>
      <c r="D54" s="76" t="inlineStr">
        <is>
          <t>Email</t>
        </is>
      </c>
      <c r="E54" s="77" t="inlineStr">
        <is>
          <t>Point d'avancement, retours positifs.</t>
        </is>
      </c>
      <c r="F54" s="76" t="inlineStr">
        <is>
          <t>Signé</t>
        </is>
      </c>
      <c r="G54" s="76" t="inlineStr">
        <is>
          <t>Clôturer</t>
        </is>
      </c>
    </row>
    <row r="55" ht="22" customHeight="1">
      <c r="A55" s="78" t="n">
        <v>46129</v>
      </c>
      <c r="B55" s="79" t="inlineStr">
        <is>
          <t>Aurora Santé</t>
        </is>
      </c>
      <c r="C55" s="79" t="inlineStr">
        <is>
          <t>Sophie Martin</t>
        </is>
      </c>
      <c r="D55" s="79" t="inlineStr">
        <is>
          <t>LinkedIn</t>
        </is>
      </c>
      <c r="E55" s="80" t="inlineStr">
        <is>
          <t>Premier contact qualifié.</t>
        </is>
      </c>
      <c r="F55" s="79" t="inlineStr">
        <is>
          <t>Injoignable</t>
        </is>
      </c>
      <c r="G55" s="79" t="inlineStr">
        <is>
          <t>Envoyer le bon de commande</t>
        </is>
      </c>
    </row>
    <row r="56" ht="22" customHeight="1">
      <c r="A56" s="75" t="n">
        <v>46125</v>
      </c>
      <c r="B56" s="76" t="inlineStr">
        <is>
          <t>Cirrus Partners</t>
        </is>
      </c>
      <c r="C56" s="76" t="inlineStr">
        <is>
          <t>Léa Dubois</t>
        </is>
      </c>
      <c r="D56" s="76" t="inlineStr">
        <is>
          <t>Téléphone</t>
        </is>
      </c>
      <c r="E56" s="77" t="inlineStr">
        <is>
          <t>Renouvellement de contrat évoqué.</t>
        </is>
      </c>
      <c r="F56" s="76" t="inlineStr">
        <is>
          <t>Devis envoyé</t>
        </is>
      </c>
      <c r="G56" s="76" t="inlineStr">
        <is>
          <t>Proposer une session</t>
        </is>
      </c>
    </row>
    <row r="57" ht="22" customHeight="1">
      <c r="A57" s="78" t="n">
        <v>46124</v>
      </c>
      <c r="B57" s="79" t="inlineStr">
        <is>
          <t>Rubis Group</t>
        </is>
      </c>
      <c r="C57" s="79" t="inlineStr">
        <is>
          <t>Sophie Martin</t>
        </is>
      </c>
      <c r="D57" s="79" t="inlineStr">
        <is>
          <t>Visio</t>
        </is>
      </c>
      <c r="E57" s="80" t="inlineStr">
        <is>
          <t>Relance suite au devis.</t>
        </is>
      </c>
      <c r="F57" s="79" t="inlineStr">
        <is>
          <t>Signé</t>
        </is>
      </c>
      <c r="G57" s="79" t="inlineStr">
        <is>
          <t>Envoyer le devis</t>
        </is>
      </c>
    </row>
    <row r="58" ht="22" customHeight="1">
      <c r="A58" s="75" t="n">
        <v>46123</v>
      </c>
      <c r="B58" s="76" t="inlineStr">
        <is>
          <t>Pixel Mobilier</t>
        </is>
      </c>
      <c r="C58" s="76" t="inlineStr">
        <is>
          <t>Léa Dubois</t>
        </is>
      </c>
      <c r="D58" s="76" t="inlineStr">
        <is>
          <t>LinkedIn</t>
        </is>
      </c>
      <c r="E58" s="77" t="inlineStr">
        <is>
          <t>Échange sur les besoins de formation.</t>
        </is>
      </c>
      <c r="F58" s="76" t="inlineStr">
        <is>
          <t>Sans suite</t>
        </is>
      </c>
      <c r="G58" s="76" t="inlineStr">
        <is>
          <t>Rappeler</t>
        </is>
      </c>
    </row>
    <row r="59" ht="22" customHeight="1">
      <c r="A59" s="78" t="n">
        <v>46121</v>
      </c>
      <c r="B59" s="79" t="inlineStr">
        <is>
          <t>Bastion Systems</t>
        </is>
      </c>
      <c r="C59" s="79" t="inlineStr">
        <is>
          <t>Nadia Cohen</t>
        </is>
      </c>
      <c r="D59" s="79" t="inlineStr">
        <is>
          <t>Téléphone</t>
        </is>
      </c>
      <c r="E59" s="80" t="inlineStr">
        <is>
          <t>Client à requalifier, peu réactif.</t>
        </is>
      </c>
      <c r="F59" s="79" t="inlineStr">
        <is>
          <t>Signé</t>
        </is>
      </c>
      <c r="G59" s="79" t="inlineStr">
        <is>
          <t>Rappeler</t>
        </is>
      </c>
    </row>
    <row r="60" ht="22" customHeight="1">
      <c r="A60" s="75" t="n">
        <v>46121</v>
      </c>
      <c r="B60" s="76" t="inlineStr">
        <is>
          <t>Dune &amp; Associés</t>
        </is>
      </c>
      <c r="C60" s="76" t="inlineStr">
        <is>
          <t>Karim Benali</t>
        </is>
      </c>
      <c r="D60" s="76" t="inlineStr">
        <is>
          <t>Rendez-vous</t>
        </is>
      </c>
      <c r="E60" s="77" t="inlineStr">
        <is>
          <t>Validation du bon de commande.</t>
        </is>
      </c>
      <c r="F60" s="76" t="inlineStr">
        <is>
          <t>Signé</t>
        </is>
      </c>
      <c r="G60" s="76" t="inlineStr">
        <is>
          <t>Proposer une session</t>
        </is>
      </c>
    </row>
    <row r="61" ht="22" customHeight="1">
      <c r="A61" s="78" t="n">
        <v>46119</v>
      </c>
      <c r="B61" s="79" t="inlineStr">
        <is>
          <t>Opale Lab</t>
        </is>
      </c>
      <c r="C61" s="79" t="inlineStr">
        <is>
          <t>Thomas Petit</t>
        </is>
      </c>
      <c r="D61" s="79" t="inlineStr">
        <is>
          <t>Téléphone</t>
        </is>
      </c>
      <c r="E61" s="80" t="inlineStr">
        <is>
          <t>Renouvellement de contrat évoqué.</t>
        </is>
      </c>
      <c r="F61" s="79" t="inlineStr">
        <is>
          <t>Signé</t>
        </is>
      </c>
      <c r="G61" s="79" t="inlineStr">
        <is>
          <t>Clôturer</t>
        </is>
      </c>
    </row>
    <row r="62" ht="22" customHeight="1">
      <c r="A62" s="75" t="n">
        <v>46118</v>
      </c>
      <c r="B62" s="76" t="inlineStr">
        <is>
          <t>Opale Lab</t>
        </is>
      </c>
      <c r="C62" s="76" t="inlineStr">
        <is>
          <t>Thomas Petit</t>
        </is>
      </c>
      <c r="D62" s="76" t="inlineStr">
        <is>
          <t>Visio</t>
        </is>
      </c>
      <c r="E62" s="77" t="inlineStr">
        <is>
          <t>Validation du bon de commande.</t>
        </is>
      </c>
      <c r="F62" s="76" t="inlineStr">
        <is>
          <t>Sans suite</t>
        </is>
      </c>
      <c r="G62" s="76" t="inlineStr">
        <is>
          <t>Proposer une session</t>
        </is>
      </c>
    </row>
    <row r="63" ht="22" customHeight="1">
      <c r="A63" s="78" t="n">
        <v>46117</v>
      </c>
      <c r="B63" s="79" t="inlineStr">
        <is>
          <t>Falcon Conseil</t>
        </is>
      </c>
      <c r="C63" s="79" t="inlineStr">
        <is>
          <t>Sophie Martin</t>
        </is>
      </c>
      <c r="D63" s="79" t="inlineStr">
        <is>
          <t>Visio</t>
        </is>
      </c>
      <c r="E63" s="80" t="inlineStr">
        <is>
          <t>Négociation tarifaire en cours.</t>
        </is>
      </c>
      <c r="F63" s="79" t="inlineStr">
        <is>
          <t>Sans suite</t>
        </is>
      </c>
      <c r="G63" s="79" t="inlineStr">
        <is>
          <t>Clôturer</t>
        </is>
      </c>
    </row>
    <row r="64" ht="22" customHeight="1">
      <c r="A64" s="75" t="n"/>
      <c r="B64" s="76" t="n"/>
      <c r="C64" s="76" t="n"/>
      <c r="D64" s="76" t="n"/>
      <c r="E64" s="77" t="n"/>
      <c r="F64" s="76" t="n"/>
      <c r="G64" s="76" t="n"/>
    </row>
    <row r="65" ht="22" customHeight="1">
      <c r="A65" s="78" t="n"/>
      <c r="B65" s="79" t="n"/>
      <c r="C65" s="79" t="n"/>
      <c r="D65" s="79" t="n"/>
      <c r="E65" s="80" t="n"/>
      <c r="F65" s="79" t="n"/>
      <c r="G65" s="79" t="n"/>
    </row>
    <row r="66" ht="22" customHeight="1">
      <c r="A66" s="75" t="n"/>
      <c r="B66" s="76" t="n"/>
      <c r="C66" s="76" t="n"/>
      <c r="D66" s="76" t="n"/>
      <c r="E66" s="77" t="n"/>
      <c r="F66" s="76" t="n"/>
      <c r="G66" s="76" t="n"/>
    </row>
    <row r="67" ht="22" customHeight="1">
      <c r="A67" s="78" t="n"/>
      <c r="B67" s="79" t="n"/>
      <c r="C67" s="79" t="n"/>
      <c r="D67" s="79" t="n"/>
      <c r="E67" s="80" t="n"/>
      <c r="F67" s="79" t="n"/>
      <c r="G67" s="79" t="n"/>
    </row>
    <row r="68" ht="22" customHeight="1">
      <c r="A68" s="75" t="n"/>
      <c r="B68" s="76" t="n"/>
      <c r="C68" s="76" t="n"/>
      <c r="D68" s="76" t="n"/>
      <c r="E68" s="77" t="n"/>
      <c r="F68" s="76" t="n"/>
      <c r="G68" s="76" t="n"/>
    </row>
    <row r="69" ht="22" customHeight="1">
      <c r="A69" s="78" t="n"/>
      <c r="B69" s="79" t="n"/>
      <c r="C69" s="79" t="n"/>
      <c r="D69" s="79" t="n"/>
      <c r="E69" s="80" t="n"/>
      <c r="F69" s="79" t="n"/>
      <c r="G69" s="79" t="n"/>
    </row>
    <row r="70" ht="22" customHeight="1">
      <c r="A70" s="75" t="n"/>
      <c r="B70" s="76" t="n"/>
      <c r="C70" s="76" t="n"/>
      <c r="D70" s="76" t="n"/>
      <c r="E70" s="77" t="n"/>
      <c r="F70" s="76" t="n"/>
      <c r="G70" s="76" t="n"/>
    </row>
    <row r="71" ht="22" customHeight="1">
      <c r="A71" s="78" t="n"/>
      <c r="B71" s="79" t="n"/>
      <c r="C71" s="79" t="n"/>
      <c r="D71" s="79" t="n"/>
      <c r="E71" s="80" t="n"/>
      <c r="F71" s="79" t="n"/>
      <c r="G71" s="79" t="n"/>
    </row>
    <row r="72" ht="22" customHeight="1">
      <c r="A72" s="75" t="n"/>
      <c r="B72" s="76" t="n"/>
      <c r="C72" s="76" t="n"/>
      <c r="D72" s="76" t="n"/>
      <c r="E72" s="77" t="n"/>
      <c r="F72" s="76" t="n"/>
      <c r="G72" s="76" t="n"/>
    </row>
    <row r="73" ht="22" customHeight="1">
      <c r="A73" s="78" t="n"/>
      <c r="B73" s="79" t="n"/>
      <c r="C73" s="79" t="n"/>
      <c r="D73" s="79" t="n"/>
      <c r="E73" s="80" t="n"/>
      <c r="F73" s="79" t="n"/>
      <c r="G73" s="79" t="n"/>
    </row>
  </sheetData>
  <mergeCells count="1">
    <mergeCell ref="A1:G1"/>
  </mergeCells>
  <conditionalFormatting sqref="F4:F73">
    <cfRule type="cellIs" priority="1" operator="equal" dxfId="0">
      <formula>"Signé"</formula>
    </cfRule>
    <cfRule type="cellIs" priority="2" operator="equal" dxfId="9">
      <formula>"Sans suite"</formula>
    </cfRule>
    <cfRule type="cellIs" priority="3" operator="equal" dxfId="10">
      <formula>"Devis envoyé"</formula>
    </cfRule>
    <cfRule type="cellIs" priority="4" operator="equal" dxfId="11">
      <formula>"À rappeler"</formula>
    </cfRule>
    <cfRule type="cellIs" priority="5" operator="equal" dxfId="4">
      <formula>"Injoignable"</formula>
    </cfRule>
  </conditionalFormatting>
  <dataValidations count="3">
    <dataValidation sqref="C4:C73" showDropDown="0" showInputMessage="0" showErrorMessage="0" allowBlank="1" type="list">
      <formula1>=lst_Commercial</formula1>
    </dataValidation>
    <dataValidation sqref="D4:D73" showDropDown="0" showInputMessage="0" showErrorMessage="0" allowBlank="1" type="list">
      <formula1>=lst_Canal</formula1>
    </dataValidation>
    <dataValidation sqref="F4:F73" showDropDown="0" showInputMessage="0" showErrorMessage="0" allowBlank="1" type="list">
      <formula1>=lst_Resultat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64" t="inlineStr">
        <is>
          <t xml:space="preserve">  HISTORIQUE MENSUEL</t>
        </is>
      </c>
    </row>
    <row r="3">
      <c r="A3" s="59" t="inlineStr">
        <is>
          <t>Mois</t>
        </is>
      </c>
      <c r="B3" s="59" t="inlineStr">
        <is>
          <t>CA réalisé</t>
        </is>
      </c>
      <c r="C3" s="59" t="inlineStr">
        <is>
          <t>Objectif</t>
        </is>
      </c>
      <c r="D3" s="59" t="inlineStr">
        <is>
          <t>Nouveaux clients</t>
        </is>
      </c>
      <c r="E3" s="59" t="inlineStr">
        <is>
          <t>Clients perdus</t>
        </is>
      </c>
      <c r="F3" s="59" t="inlineStr">
        <is>
          <t>Taux de signature</t>
        </is>
      </c>
    </row>
    <row r="4">
      <c r="A4" s="60" t="inlineStr">
        <is>
          <t>août 25</t>
        </is>
      </c>
      <c r="B4" s="62" t="n">
        <v>41800</v>
      </c>
      <c r="C4" s="62" t="n">
        <v>42000</v>
      </c>
      <c r="D4" s="61" t="n">
        <v>4</v>
      </c>
      <c r="E4" s="61" t="n">
        <v>1</v>
      </c>
      <c r="F4" s="81" t="n">
        <v>0.469</v>
      </c>
    </row>
    <row r="5">
      <c r="A5" s="70" t="inlineStr">
        <is>
          <t>sept. 25</t>
        </is>
      </c>
      <c r="B5" s="72" t="n">
        <v>50300</v>
      </c>
      <c r="C5" s="72" t="n">
        <v>44500</v>
      </c>
      <c r="D5" s="73" t="n">
        <v>2</v>
      </c>
      <c r="E5" s="73" t="n">
        <v>2</v>
      </c>
      <c r="F5" s="82" t="n">
        <v>0.486</v>
      </c>
    </row>
    <row r="6">
      <c r="A6" s="60" t="inlineStr">
        <is>
          <t>oct. 25</t>
        </is>
      </c>
      <c r="B6" s="62" t="n">
        <v>45500</v>
      </c>
      <c r="C6" s="62" t="n">
        <v>47000</v>
      </c>
      <c r="D6" s="61" t="n">
        <v>3</v>
      </c>
      <c r="E6" s="61" t="n">
        <v>2</v>
      </c>
      <c r="F6" s="81" t="n">
        <v>0.472</v>
      </c>
    </row>
    <row r="7">
      <c r="A7" s="70" t="inlineStr">
        <is>
          <t>nov. 25</t>
        </is>
      </c>
      <c r="B7" s="72" t="n">
        <v>47600</v>
      </c>
      <c r="C7" s="72" t="n">
        <v>49500</v>
      </c>
      <c r="D7" s="73" t="n">
        <v>7</v>
      </c>
      <c r="E7" s="73" t="n">
        <v>0</v>
      </c>
      <c r="F7" s="82" t="n">
        <v>0.312</v>
      </c>
    </row>
    <row r="8">
      <c r="A8" s="60" t="inlineStr">
        <is>
          <t>déc. 25</t>
        </is>
      </c>
      <c r="B8" s="62" t="n">
        <v>54200</v>
      </c>
      <c r="C8" s="62" t="n">
        <v>52000</v>
      </c>
      <c r="D8" s="61" t="n">
        <v>3</v>
      </c>
      <c r="E8" s="61" t="n">
        <v>2</v>
      </c>
      <c r="F8" s="81" t="n">
        <v>0.284</v>
      </c>
    </row>
    <row r="9">
      <c r="A9" s="70" t="inlineStr">
        <is>
          <t>janv. 26</t>
        </is>
      </c>
      <c r="B9" s="72" t="n">
        <v>55300</v>
      </c>
      <c r="C9" s="72" t="n">
        <v>54500</v>
      </c>
      <c r="D9" s="73" t="n">
        <v>2</v>
      </c>
      <c r="E9" s="73" t="n">
        <v>1</v>
      </c>
      <c r="F9" s="82" t="n">
        <v>0.458</v>
      </c>
    </row>
    <row r="10">
      <c r="A10" s="60" t="inlineStr">
        <is>
          <t>févr. 26</t>
        </is>
      </c>
      <c r="B10" s="62" t="n">
        <v>62200</v>
      </c>
      <c r="C10" s="62" t="n">
        <v>57000</v>
      </c>
      <c r="D10" s="61" t="n">
        <v>2</v>
      </c>
      <c r="E10" s="61" t="n">
        <v>0</v>
      </c>
      <c r="F10" s="81" t="n">
        <v>0.394</v>
      </c>
    </row>
    <row r="11">
      <c r="A11" s="70" t="inlineStr">
        <is>
          <t>mars 26</t>
        </is>
      </c>
      <c r="B11" s="72" t="n">
        <v>62100</v>
      </c>
      <c r="C11" s="72" t="n">
        <v>59500</v>
      </c>
      <c r="D11" s="73" t="n">
        <v>6</v>
      </c>
      <c r="E11" s="73" t="n">
        <v>0</v>
      </c>
      <c r="F11" s="82" t="n">
        <v>0.388</v>
      </c>
    </row>
    <row r="12">
      <c r="A12" s="60" t="inlineStr">
        <is>
          <t>avr. 26</t>
        </is>
      </c>
      <c r="B12" s="62" t="n">
        <v>62400</v>
      </c>
      <c r="C12" s="62" t="n">
        <v>62000</v>
      </c>
      <c r="D12" s="61" t="n">
        <v>6</v>
      </c>
      <c r="E12" s="61" t="n">
        <v>0</v>
      </c>
      <c r="F12" s="81" t="n">
        <v>0.455</v>
      </c>
    </row>
    <row r="13">
      <c r="A13" s="70" t="inlineStr">
        <is>
          <t>mai 26</t>
        </is>
      </c>
      <c r="B13" s="72" t="n">
        <v>69900</v>
      </c>
      <c r="C13" s="72" t="n">
        <v>64500</v>
      </c>
      <c r="D13" s="73" t="n">
        <v>4</v>
      </c>
      <c r="E13" s="73" t="n">
        <v>3</v>
      </c>
      <c r="F13" s="82" t="n">
        <v>0.434</v>
      </c>
    </row>
    <row r="14">
      <c r="A14" s="60" t="inlineStr">
        <is>
          <t>juin 26</t>
        </is>
      </c>
      <c r="B14" s="62" t="n">
        <v>64500</v>
      </c>
      <c r="C14" s="62" t="n">
        <v>67000</v>
      </c>
      <c r="D14" s="61" t="n">
        <v>2</v>
      </c>
      <c r="E14" s="61" t="n">
        <v>3</v>
      </c>
      <c r="F14" s="81" t="n">
        <v>0.483</v>
      </c>
    </row>
    <row r="15">
      <c r="A15" s="70" t="inlineStr">
        <is>
          <t>juil. 26</t>
        </is>
      </c>
      <c r="B15" s="72" t="n">
        <v>73500</v>
      </c>
      <c r="C15" s="72" t="n">
        <v>69500</v>
      </c>
      <c r="D15" s="73" t="n">
        <v>7</v>
      </c>
      <c r="E15" s="73" t="n">
        <v>0</v>
      </c>
      <c r="F15" s="82" t="n">
        <v>0.398</v>
      </c>
    </row>
  </sheetData>
  <mergeCells count="1">
    <mergeCell ref="A1:F1"/>
  </mergeCells>
  <conditionalFormatting sqref="B4:B15">
    <cfRule type="dataBar" priority="1">
      <dataBar>
        <cfvo type="min"/>
        <cfvo type="max"/>
        <color rgb="002E9E5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83" t="inlineStr">
        <is>
          <t>Listes de référence</t>
        </is>
      </c>
    </row>
    <row r="3">
      <c r="A3" s="59" t="inlineStr">
        <is>
          <t>Statut</t>
        </is>
      </c>
      <c r="B3" s="59" t="inlineStr">
        <is>
          <t>Segment</t>
        </is>
      </c>
      <c r="C3" s="59" t="inlineStr">
        <is>
          <t>Priorité</t>
        </is>
      </c>
      <c r="D3" s="59" t="inlineStr">
        <is>
          <t>Commercial</t>
        </is>
      </c>
      <c r="E3" s="59" t="inlineStr">
        <is>
          <t>Canal</t>
        </is>
      </c>
      <c r="F3" s="59" t="inlineStr">
        <is>
          <t>Résultat</t>
        </is>
      </c>
      <c r="G3" s="59" t="inlineStr">
        <is>
          <t>Secteur</t>
        </is>
      </c>
      <c r="H3" s="59" t="inlineStr">
        <is>
          <t>Région</t>
        </is>
      </c>
    </row>
    <row r="4">
      <c r="A4" s="60" t="inlineStr">
        <is>
          <t>Prospect</t>
        </is>
      </c>
      <c r="B4" s="60" t="inlineStr">
        <is>
          <t>Grand Compte</t>
        </is>
      </c>
      <c r="C4" s="60" t="inlineStr">
        <is>
          <t>Haute</t>
        </is>
      </c>
      <c r="D4" s="60" t="inlineStr">
        <is>
          <t>Sophie Martin</t>
        </is>
      </c>
      <c r="E4" s="60" t="inlineStr">
        <is>
          <t>Email</t>
        </is>
      </c>
      <c r="F4" s="60" t="inlineStr">
        <is>
          <t>À rappeler</t>
        </is>
      </c>
      <c r="G4" s="60" t="inlineStr">
        <is>
          <t>Tech</t>
        </is>
      </c>
      <c r="H4" s="60" t="inlineStr">
        <is>
          <t>Île-de-France</t>
        </is>
      </c>
    </row>
    <row r="5">
      <c r="A5" s="60" t="inlineStr">
        <is>
          <t>Actif</t>
        </is>
      </c>
      <c r="B5" s="60" t="inlineStr">
        <is>
          <t>PME</t>
        </is>
      </c>
      <c r="C5" s="60" t="inlineStr">
        <is>
          <t>Moyenne</t>
        </is>
      </c>
      <c r="D5" s="60" t="inlineStr">
        <is>
          <t>Karim Benali</t>
        </is>
      </c>
      <c r="E5" s="60" t="inlineStr">
        <is>
          <t>Téléphone</t>
        </is>
      </c>
      <c r="F5" s="60" t="inlineStr">
        <is>
          <t>Devis envoyé</t>
        </is>
      </c>
      <c r="G5" s="60" t="inlineStr">
        <is>
          <t>Industrie</t>
        </is>
      </c>
      <c r="H5" s="60" t="inlineStr">
        <is>
          <t>Auvergne-Rhône-Alpes</t>
        </is>
      </c>
    </row>
    <row r="6">
      <c r="A6" s="60" t="inlineStr">
        <is>
          <t>En négociation</t>
        </is>
      </c>
      <c r="B6" s="60" t="inlineStr">
        <is>
          <t>TPE</t>
        </is>
      </c>
      <c r="C6" s="60" t="inlineStr">
        <is>
          <t>Basse</t>
        </is>
      </c>
      <c r="D6" s="60" t="inlineStr">
        <is>
          <t>Léa Dubois</t>
        </is>
      </c>
      <c r="E6" s="60" t="inlineStr">
        <is>
          <t>Visio</t>
        </is>
      </c>
      <c r="F6" s="60" t="inlineStr">
        <is>
          <t>Signé</t>
        </is>
      </c>
      <c r="G6" s="60" t="inlineStr">
        <is>
          <t>Santé</t>
        </is>
      </c>
      <c r="H6" s="60" t="inlineStr">
        <is>
          <t>Occitanie</t>
        </is>
      </c>
    </row>
    <row r="7">
      <c r="A7" s="60" t="inlineStr">
        <is>
          <t>Inactif</t>
        </is>
      </c>
      <c r="B7" s="60" t="inlineStr">
        <is>
          <t>Particulier</t>
        </is>
      </c>
      <c r="D7" s="60" t="inlineStr">
        <is>
          <t>Thomas Petit</t>
        </is>
      </c>
      <c r="E7" s="60" t="inlineStr">
        <is>
          <t>Rendez-vous</t>
        </is>
      </c>
      <c r="F7" s="60" t="inlineStr">
        <is>
          <t>Sans suite</t>
        </is>
      </c>
      <c r="G7" s="60" t="inlineStr">
        <is>
          <t>Retail</t>
        </is>
      </c>
      <c r="H7" s="60" t="inlineStr">
        <is>
          <t>Hauts-de-France</t>
        </is>
      </c>
    </row>
    <row r="8">
      <c r="A8" s="60" t="inlineStr">
        <is>
          <t>Perdu</t>
        </is>
      </c>
      <c r="D8" s="60" t="inlineStr">
        <is>
          <t>Nadia Cohen</t>
        </is>
      </c>
      <c r="E8" s="60" t="inlineStr">
        <is>
          <t>LinkedIn</t>
        </is>
      </c>
      <c r="F8" s="60" t="inlineStr">
        <is>
          <t>Injoignable</t>
        </is>
      </c>
      <c r="G8" s="60" t="inlineStr">
        <is>
          <t>Services</t>
        </is>
      </c>
      <c r="H8" s="60" t="inlineStr">
        <is>
          <t>Nouvelle-Aquitaine</t>
        </is>
      </c>
    </row>
    <row r="9">
      <c r="G9" s="60" t="inlineStr">
        <is>
          <t>Média</t>
        </is>
      </c>
      <c r="H9" s="60" t="inlineStr">
        <is>
          <t>PACA</t>
        </is>
      </c>
    </row>
    <row r="10">
      <c r="G10" s="60" t="inlineStr">
        <is>
          <t>Finance</t>
        </is>
      </c>
      <c r="H10" s="60" t="inlineStr">
        <is>
          <t>Grand Est</t>
        </is>
      </c>
    </row>
    <row r="11">
      <c r="G11" s="60" t="inlineStr">
        <is>
          <t>BTP</t>
        </is>
      </c>
      <c r="H11" s="60" t="inlineStr">
        <is>
          <t>Bretagne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2026-07-08T05:47:54Z</dcterms:created>
  <dcterms:modified xsi:type="dcterms:W3CDTF">2026-07-08T05:47:55Z</dcterms:modified>
</cp:coreProperties>
</file>