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 de bord" sheetId="1" state="visible" r:id="rId1"/>
    <sheet name="Clients" sheetId="2" state="visible" r:id="rId2"/>
    <sheet name="Suivi &amp; Relances" sheetId="3" state="visible" r:id="rId3"/>
    <sheet name="Paramètres" sheetId="4" state="visible" r:id="rId4"/>
  </sheets>
  <definedNames>
    <definedName name="lst_Statut">Paramètres!$A$4:$A$8</definedName>
    <definedName name="lst_Segment">Paramètres!$B$4:$B$7</definedName>
    <definedName name="lst_Priorite">Paramètres!$C$4:$C$6</definedName>
    <definedName name="lst_Commercial">Paramètres!$D$4:$D$7</definedName>
    <definedName name="lst_Canal">Paramètres!$E$4:$E$8</definedName>
    <definedName name="lst_Resultat">Paramètres!$F$4:$F$8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#,##0 €"/>
    <numFmt numFmtId="167" formatCode="0.0%"/>
    <numFmt numFmtId="168" formatCode="0.0"/>
  </numFmts>
  <fonts count="16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b val="1"/>
      <color rgb="00FFFFFF"/>
    </font>
    <font>
      <name val="Calibri"/>
      <b val="1"/>
      <color rgb="00FFFFFF"/>
      <sz val="18"/>
    </font>
    <font>
      <name val="Calibri"/>
      <i val="1"/>
      <color rgb="005B6472"/>
      <sz val="10"/>
    </font>
    <font>
      <name val="Calibri"/>
      <b val="1"/>
      <color rgb="00FFFFFF"/>
      <sz val="10"/>
    </font>
    <font>
      <name val="Calibri"/>
      <color rgb="005B6472"/>
      <sz val="10"/>
    </font>
    <font>
      <name val="Calibri"/>
      <b val="1"/>
      <color rgb="00FFFFFF"/>
      <sz val="20"/>
    </font>
    <font>
      <name val="Calibri"/>
      <i val="1"/>
      <color rgb="005B6472"/>
      <sz val="11"/>
    </font>
    <font>
      <name val="Calibri"/>
      <b val="1"/>
      <color rgb="002E9E5B"/>
      <sz val="24"/>
    </font>
    <font>
      <name val="Calibri"/>
      <b val="1"/>
      <color rgb="002E5EAA"/>
      <sz val="24"/>
    </font>
    <font>
      <name val="Calibri"/>
      <b val="1"/>
      <color rgb="00E1A100"/>
      <sz val="24"/>
    </font>
    <font>
      <name val="Calibri"/>
      <b val="1"/>
      <color rgb="001F3864"/>
      <sz val="24"/>
    </font>
    <font>
      <name val="Calibri"/>
      <b val="1"/>
      <color rgb="00C0392B"/>
      <sz val="24"/>
    </font>
    <font>
      <name val="Calibri"/>
      <b val="1"/>
      <color rgb="00F2A900"/>
      <sz val="24"/>
    </font>
    <font>
      <name val="Calibri"/>
      <b val="1"/>
      <color rgb="001F3864"/>
      <sz val="12"/>
    </font>
  </fonts>
  <fills count="11">
    <fill>
      <patternFill/>
    </fill>
    <fill>
      <patternFill patternType="gray125"/>
    </fill>
    <fill>
      <patternFill patternType="solid">
        <fgColor rgb="002E5EAA"/>
      </patternFill>
    </fill>
    <fill>
      <patternFill patternType="solid">
        <fgColor rgb="001F3864"/>
      </patternFill>
    </fill>
    <fill>
      <patternFill patternType="solid">
        <fgColor rgb="00EDEFF5"/>
      </patternFill>
    </fill>
    <fill>
      <patternFill patternType="solid">
        <fgColor rgb="00F4F6FB"/>
      </patternFill>
    </fill>
    <fill>
      <patternFill patternType="solid">
        <fgColor rgb="00F2A900"/>
      </patternFill>
    </fill>
    <fill>
      <patternFill patternType="solid">
        <fgColor rgb="002E9E5B"/>
      </patternFill>
    </fill>
    <fill>
      <patternFill patternType="solid">
        <fgColor rgb="00FFFFFF"/>
      </patternFill>
    </fill>
    <fill>
      <patternFill patternType="solid">
        <fgColor rgb="00E1A100"/>
      </patternFill>
    </fill>
    <fill>
      <patternFill patternType="solid">
        <fgColor rgb="00C0392B"/>
      </patternFill>
    </fill>
  </fills>
  <borders count="8">
    <border>
      <left/>
      <right/>
      <top/>
      <bottom/>
      <diagonal/>
    </border>
    <border>
      <left style="thin">
        <color rgb="00C9D2E3"/>
      </left>
      <right style="thin">
        <color rgb="00C9D2E3"/>
      </right>
      <top style="thin">
        <color rgb="00C9D2E3"/>
      </top>
      <bottom style="thin">
        <color rgb="00C9D2E3"/>
      </bottom>
    </border>
    <border>
      <left style="thin">
        <color rgb="002E9E5B"/>
      </left>
      <right style="thin">
        <color rgb="002E9E5B"/>
      </right>
      <bottom style="medium">
        <color rgb="002E9E5B"/>
      </bottom>
    </border>
    <border>
      <left style="thin">
        <color rgb="002E5EAA"/>
      </left>
      <right style="thin">
        <color rgb="002E5EAA"/>
      </right>
      <bottom style="medium">
        <color rgb="002E5EAA"/>
      </bottom>
    </border>
    <border>
      <left style="thin">
        <color rgb="00E1A100"/>
      </left>
      <right style="thin">
        <color rgb="00E1A100"/>
      </right>
      <bottom style="medium">
        <color rgb="00E1A100"/>
      </bottom>
    </border>
    <border>
      <left style="thin">
        <color rgb="001F3864"/>
      </left>
      <right style="thin">
        <color rgb="001F3864"/>
      </right>
      <bottom style="medium">
        <color rgb="001F3864"/>
      </bottom>
    </border>
    <border>
      <left style="thin">
        <color rgb="00C0392B"/>
      </left>
      <right style="thin">
        <color rgb="00C0392B"/>
      </right>
      <bottom style="medium">
        <color rgb="00C0392B"/>
      </bottom>
    </border>
    <border>
      <left style="thin">
        <color rgb="00F2A900"/>
      </left>
      <right style="thin">
        <color rgb="00F2A900"/>
      </right>
      <bottom style="medium">
        <color rgb="00F2A900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7" fillId="3" borderId="0" applyAlignment="1" pivotButton="0" quotePrefix="0" xfId="0">
      <alignment vertical="center" indent="1"/>
    </xf>
    <xf numFmtId="0" fontId="8" fillId="0" borderId="0" applyAlignment="1" pivotButton="0" quotePrefix="0" xfId="0">
      <alignment vertical="center" indent="1"/>
    </xf>
    <xf numFmtId="0" fontId="5" fillId="7" borderId="0" applyAlignment="1" pivotButton="0" quotePrefix="0" xfId="0">
      <alignment horizontal="left" vertical="center" indent="1"/>
    </xf>
    <xf numFmtId="0" fontId="0" fillId="7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5" fillId="9" borderId="0" applyAlignment="1" pivotButton="0" quotePrefix="0" xfId="0">
      <alignment horizontal="left" vertical="center" indent="1"/>
    </xf>
    <xf numFmtId="0" fontId="0" fillId="9" borderId="0" pivotButton="0" quotePrefix="0" xfId="0"/>
    <xf numFmtId="3" fontId="9" fillId="8" borderId="2" applyAlignment="1" pivotButton="0" quotePrefix="0" xfId="0">
      <alignment horizontal="center" vertical="center"/>
    </xf>
    <xf numFmtId="0" fontId="0" fillId="8" borderId="2" pivotButton="0" quotePrefix="0" xfId="0"/>
    <xf numFmtId="3" fontId="10" fillId="8" borderId="3" applyAlignment="1" pivotButton="0" quotePrefix="0" xfId="0">
      <alignment horizontal="center" vertical="center"/>
    </xf>
    <xf numFmtId="0" fontId="0" fillId="8" borderId="3" pivotButton="0" quotePrefix="0" xfId="0"/>
    <xf numFmtId="3" fontId="11" fillId="8" borderId="4" applyAlignment="1" pivotButton="0" quotePrefix="0" xfId="0">
      <alignment horizontal="center" vertical="center"/>
    </xf>
    <xf numFmtId="0" fontId="0" fillId="8" borderId="4" pivotButton="0" quotePrefix="0" xfId="0"/>
    <xf numFmtId="0" fontId="5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5" fillId="10" borderId="0" applyAlignment="1" pivotButton="0" quotePrefix="0" xfId="0">
      <alignment horizontal="left" vertical="center" indent="1"/>
    </xf>
    <xf numFmtId="0" fontId="0" fillId="10" borderId="0" pivotButton="0" quotePrefix="0" xfId="0"/>
    <xf numFmtId="166" fontId="12" fillId="8" borderId="5" applyAlignment="1" pivotButton="0" quotePrefix="0" xfId="0">
      <alignment horizontal="center" vertical="center"/>
    </xf>
    <xf numFmtId="0" fontId="0" fillId="8" borderId="5" pivotButton="0" quotePrefix="0" xfId="0"/>
    <xf numFmtId="166" fontId="10" fillId="8" borderId="3" applyAlignment="1" pivotButton="0" quotePrefix="0" xfId="0">
      <alignment horizontal="center" vertical="center"/>
    </xf>
    <xf numFmtId="3" fontId="13" fillId="8" borderId="6" applyAlignment="1" pivotButton="0" quotePrefix="0" xfId="0">
      <alignment horizontal="center" vertical="center"/>
    </xf>
    <xf numFmtId="0" fontId="0" fillId="8" borderId="6" pivotButton="0" quotePrefix="0" xfId="0"/>
    <xf numFmtId="0" fontId="5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167" fontId="9" fillId="8" borderId="2" applyAlignment="1" pivotButton="0" quotePrefix="0" xfId="0">
      <alignment horizontal="center" vertical="center"/>
    </xf>
    <xf numFmtId="168" fontId="14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15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166" fontId="0" fillId="0" borderId="1" pivotButton="0" quotePrefix="0" xfId="0"/>
    <xf numFmtId="0" fontId="4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vertical="center" indent="1"/>
    </xf>
    <xf numFmtId="0" fontId="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5" borderId="1" pivotButton="0" quotePrefix="0" xfId="0"/>
    <xf numFmtId="165" fontId="0" fillId="5" borderId="1" applyAlignment="1" pivotButton="0" quotePrefix="0" xfId="0">
      <alignment horizontal="center"/>
    </xf>
    <xf numFmtId="166" fontId="0" fillId="5" borderId="1" pivotButton="0" quotePrefix="0" xfId="0"/>
    <xf numFmtId="0" fontId="0" fillId="5" borderId="1" applyAlignment="1" pivotButton="0" quotePrefix="0" xfId="0">
      <alignment horizontal="center"/>
    </xf>
    <xf numFmtId="0" fontId="3" fillId="3" borderId="0" applyAlignment="1" pivotButton="0" quotePrefix="0" xfId="0">
      <alignment vertical="center" indent="1"/>
    </xf>
    <xf numFmtId="0" fontId="5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5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1" fillId="0" borderId="0" pivotButton="0" quotePrefix="0" xfId="0"/>
  </cellXfs>
  <cellStyles count="1">
    <cellStyle name="Normal" xfId="0" builtinId="0" hidden="0"/>
  </cellStyles>
  <dxfs count="12">
    <dxf>
      <font>
        <name val="Calibri"/>
        <b val="1"/>
        <color rgb="001E7A45"/>
      </font>
      <fill>
        <patternFill patternType="solid">
          <fgColor rgb="00D5F2E3"/>
        </patternFill>
      </fill>
    </dxf>
    <dxf>
      <font>
        <name val="Calibri"/>
        <b val="1"/>
        <color rgb="00C0392B"/>
      </font>
      <fill>
        <patternFill patternType="solid">
          <fgColor rgb="00FADBD8"/>
        </patternFill>
      </fill>
    </dxf>
    <dxf>
      <font>
        <name val="Calibri"/>
        <b val="1"/>
        <color rgb="00B9770E"/>
      </font>
      <fill>
        <patternFill patternType="solid">
          <fgColor rgb="00FDEBD0"/>
        </patternFill>
      </fill>
    </dxf>
    <dxf>
      <font>
        <name val="Calibri"/>
        <b val="1"/>
        <color rgb="0021618C"/>
      </font>
      <fill>
        <patternFill patternType="solid">
          <fgColor rgb="00D6EAF8"/>
        </patternFill>
      </fill>
    </dxf>
    <dxf>
      <font>
        <name val="Calibri"/>
        <color rgb="005B6472"/>
      </font>
      <fill>
        <patternFill patternType="solid">
          <fgColor rgb="00EAECEE"/>
        </patternFill>
      </fill>
    </dxf>
    <dxf>
      <font>
        <name val="Calibri"/>
        <color rgb="00B9770E"/>
      </font>
      <fill>
        <patternFill patternType="solid">
          <fgColor rgb="00FDEBD0"/>
        </patternFill>
      </fill>
    </dxf>
    <dxf>
      <font>
        <name val="Calibri"/>
        <b val="1"/>
        <color rgb="00922B21"/>
      </font>
      <fill>
        <patternFill patternType="solid">
          <fgColor rgb="00F5B7B1"/>
        </patternFill>
      </fill>
    </dxf>
    <dxf>
      <font>
        <name val="Calibri"/>
        <b val="1"/>
        <color rgb="009A7D0A"/>
      </font>
      <fill>
        <patternFill patternType="solid">
          <fgColor rgb="00FCF3CF"/>
        </patternFill>
      </fill>
    </dxf>
    <dxf>
      <font>
        <name val="Calibri"/>
        <color rgb="001E7A45"/>
      </font>
      <fill>
        <patternFill patternType="solid">
          <fgColor rgb="00D5F2E3"/>
        </patternFill>
      </fill>
    </dxf>
    <dxf>
      <font>
        <name val="Calibri"/>
        <color rgb="00C0392B"/>
      </font>
      <fill>
        <patternFill patternType="solid">
          <fgColor rgb="00FADBD8"/>
        </patternFill>
      </fill>
    </dxf>
    <dxf>
      <font>
        <name val="Calibri"/>
        <color rgb="0021618C"/>
      </font>
      <fill>
        <patternFill patternType="solid">
          <fgColor rgb="00D6EAF8"/>
        </patternFill>
      </fill>
    </dxf>
    <dxf>
      <font>
        <name val="Calibri"/>
        <color rgb="009A7D0A"/>
      </font>
      <fill>
        <patternFill patternType="solid">
          <fgColor rgb="00FCF3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des clients par statut</a:t>
            </a:r>
          </a:p>
        </rich>
      </tx>
    </title>
    <plotArea>
      <doughnutChart>
        <varyColors val="1"/>
        <ser>
          <idx val="0"/>
          <order val="0"/>
          <tx>
            <strRef>
              <f>'Tableau de bord'!C15</f>
            </strRef>
          </tx>
          <spPr>
            <a:ln>
              <a:prstDash val="solid"/>
            </a:ln>
          </spPr>
          <cat>
            <numRef>
              <f>'Tableau de bord'!$B$16:$B$20</f>
            </numRef>
          </cat>
          <val>
            <numRef>
              <f>'Tableau de bord'!$C$16:$C$20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réalisé par commercial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bord'!G15</f>
            </strRef>
          </tx>
          <spPr>
            <a:ln>
              <a:prstDash val="solid"/>
            </a:ln>
          </spPr>
          <cat>
            <numRef>
              <f>'Tableau de bord'!$F$16:$F$19</f>
            </numRef>
          </cat>
          <val>
            <numRef>
              <f>'Tableau de bord'!$G$16:$G$19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 €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prévisionnel par segment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'Tableau de bord'!C24</f>
            </strRef>
          </tx>
          <spPr>
            <a:ln>
              <a:prstDash val="solid"/>
            </a:ln>
          </spPr>
          <cat>
            <numRef>
              <f>'Tableau de bord'!$B$25:$B$28</f>
            </numRef>
          </cat>
          <val>
            <numRef>
              <f>'Tableau de bord'!$C$25:$C$28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 €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30</row>
      <rowOff>0</rowOff>
    </from>
    <ext cx="43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30</row>
      <rowOff>0</rowOff>
    </from>
    <ext cx="43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46</row>
      <rowOff>0</rowOff>
    </from>
    <ext cx="43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E9E5B"/>
    <outlinePr summaryBelow="1" summaryRight="1"/>
    <pageSetUpPr/>
  </sheetPr>
  <dimension ref="B1:J6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6" customWidth="1" min="3" max="3"/>
    <col width="16" customWidth="1" min="4" max="4"/>
    <col width="16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4" customWidth="1" min="11" max="11"/>
  </cols>
  <sheetData>
    <row r="1" ht="40" customHeight="1">
      <c r="B1" s="1" t="inlineStr">
        <is>
          <t>TABLEAU DE BORD — SUIVI CLIENTS</t>
        </is>
      </c>
    </row>
    <row r="2" ht="22" customHeight="1">
      <c r="B2" s="2" t="inlineStr">
        <is>
          <t>Vue synthétique du portefeuille — mise à jour automatique</t>
        </is>
      </c>
    </row>
    <row r="4" ht="20" customHeight="1">
      <c r="B4" s="3" t="inlineStr">
        <is>
          <t>Clients actifs</t>
        </is>
      </c>
      <c r="C4" s="4" t="n"/>
      <c r="D4" s="4" t="n"/>
      <c r="E4" s="5" t="inlineStr">
        <is>
          <t>Prospects</t>
        </is>
      </c>
      <c r="F4" s="6" t="n"/>
      <c r="G4" s="6" t="n"/>
      <c r="H4" s="7" t="inlineStr">
        <is>
          <t>En négociation</t>
        </is>
      </c>
      <c r="I4" s="8" t="n"/>
      <c r="J4" s="8" t="n"/>
    </row>
    <row r="5" ht="46" customHeight="1">
      <c r="B5" s="9">
        <f>COUNTIF(Clients!$H$4:$H$63,"Actif")</f>
        <v/>
      </c>
      <c r="C5" s="10" t="n"/>
      <c r="D5" s="10" t="n"/>
      <c r="E5" s="11">
        <f>COUNTIF(Clients!$H$4:$H$63,"Prospect")</f>
        <v/>
      </c>
      <c r="F5" s="12" t="n"/>
      <c r="G5" s="12" t="n"/>
      <c r="H5" s="13">
        <f>COUNTIF(Clients!$H$4:$H$63,"En négociation")</f>
        <v/>
      </c>
      <c r="I5" s="14" t="n"/>
      <c r="J5" s="14" t="n"/>
    </row>
    <row r="7" ht="20" customHeight="1">
      <c r="B7" s="15" t="inlineStr">
        <is>
          <t>CA réalisé</t>
        </is>
      </c>
      <c r="C7" s="16" t="n"/>
      <c r="D7" s="16" t="n"/>
      <c r="E7" s="5" t="inlineStr">
        <is>
          <t>CA prévisionnel</t>
        </is>
      </c>
      <c r="F7" s="6" t="n"/>
      <c r="G7" s="6" t="n"/>
      <c r="H7" s="17" t="inlineStr">
        <is>
          <t>Relances en retard</t>
        </is>
      </c>
      <c r="I7" s="18" t="n"/>
      <c r="J7" s="18" t="n"/>
    </row>
    <row r="8" ht="46" customHeight="1">
      <c r="B8" s="19">
        <f>SUM(Clients!$N$4:$N$63)</f>
        <v/>
      </c>
      <c r="C8" s="20" t="n"/>
      <c r="D8" s="20" t="n"/>
      <c r="E8" s="21">
        <f>SUM(Clients!$M$4:$M$63)</f>
        <v/>
      </c>
      <c r="F8" s="12" t="n"/>
      <c r="G8" s="12" t="n"/>
      <c r="H8" s="22">
        <f>COUNTIF(Clients!$Q$4:$Q$63,"*retard*")</f>
        <v/>
      </c>
      <c r="I8" s="23" t="n"/>
      <c r="J8" s="23" t="n"/>
    </row>
    <row r="10" ht="20" customHeight="1">
      <c r="B10" s="3" t="inlineStr">
        <is>
          <t>Taux de signature</t>
        </is>
      </c>
      <c r="C10" s="4" t="n"/>
      <c r="D10" s="4" t="n"/>
      <c r="E10" s="5" t="inlineStr">
        <is>
          <t>Panier moyen (CA réalisé)</t>
        </is>
      </c>
      <c r="F10" s="6" t="n"/>
      <c r="G10" s="6" t="n"/>
      <c r="H10" s="24" t="inlineStr">
        <is>
          <t>Satisfaction moyenne</t>
        </is>
      </c>
      <c r="I10" s="25" t="n"/>
      <c r="J10" s="25" t="n"/>
    </row>
    <row r="11" ht="46" customHeight="1">
      <c r="B11" s="26">
        <f>IFERROR(COUNTIF(Clients!$H$4:$H$63,"Actif")/COUNTA(Clients!$H$4:$H$63),0)</f>
        <v/>
      </c>
      <c r="C11" s="10" t="n"/>
      <c r="D11" s="10" t="n"/>
      <c r="E11" s="21">
        <f>IFERROR(SUM(Clients!$N$4:$N$63)/COUNTIF(Clients!$N$4:$N$63,"&gt;0"),0)</f>
        <v/>
      </c>
      <c r="F11" s="12" t="n"/>
      <c r="G11" s="12" t="n"/>
      <c r="H11" s="27">
        <f>IFERROR(AVERAGE(Clients!$O$4:$O$63),0)</f>
        <v/>
      </c>
      <c r="I11" s="28" t="n"/>
      <c r="J11" s="28" t="n"/>
    </row>
    <row r="14">
      <c r="B14" s="29" t="inlineStr">
        <is>
          <t>Répartition par statut</t>
        </is>
      </c>
      <c r="F14" s="29" t="inlineStr">
        <is>
          <t>CA réalisé par commercial</t>
        </is>
      </c>
    </row>
    <row r="15">
      <c r="B15" s="30" t="inlineStr">
        <is>
          <t>Statut</t>
        </is>
      </c>
      <c r="C15" s="30" t="inlineStr">
        <is>
          <t>Nombre</t>
        </is>
      </c>
      <c r="F15" s="30" t="inlineStr">
        <is>
          <t>Commercial</t>
        </is>
      </c>
      <c r="G15" s="30" t="inlineStr">
        <is>
          <t>CA réalisé</t>
        </is>
      </c>
    </row>
    <row r="16">
      <c r="B16" s="31" t="inlineStr">
        <is>
          <t>Prospect</t>
        </is>
      </c>
      <c r="C16" s="32">
        <f>COUNTIF(Clients!$H$4:$H$63,B16)</f>
        <v/>
      </c>
      <c r="F16" s="31" t="inlineStr">
        <is>
          <t>Sophie Martin</t>
        </is>
      </c>
      <c r="G16" s="33">
        <f>SUMIF(Clients!$G$4:$G$63,F16,Clients!$N$4:$N$63)</f>
        <v/>
      </c>
    </row>
    <row r="17">
      <c r="B17" s="31" t="inlineStr">
        <is>
          <t>Actif</t>
        </is>
      </c>
      <c r="C17" s="32">
        <f>COUNTIF(Clients!$H$4:$H$63,B17)</f>
        <v/>
      </c>
      <c r="F17" s="31" t="inlineStr">
        <is>
          <t>Karim Benali</t>
        </is>
      </c>
      <c r="G17" s="33">
        <f>SUMIF(Clients!$G$4:$G$63,F17,Clients!$N$4:$N$63)</f>
        <v/>
      </c>
    </row>
    <row r="18">
      <c r="B18" s="31" t="inlineStr">
        <is>
          <t>En négociation</t>
        </is>
      </c>
      <c r="C18" s="32">
        <f>COUNTIF(Clients!$H$4:$H$63,B18)</f>
        <v/>
      </c>
      <c r="F18" s="31" t="inlineStr">
        <is>
          <t>Léa Dubois</t>
        </is>
      </c>
      <c r="G18" s="33">
        <f>SUMIF(Clients!$G$4:$G$63,F18,Clients!$N$4:$N$63)</f>
        <v/>
      </c>
    </row>
    <row r="19">
      <c r="B19" s="31" t="inlineStr">
        <is>
          <t>Inactif</t>
        </is>
      </c>
      <c r="C19" s="32">
        <f>COUNTIF(Clients!$H$4:$H$63,B19)</f>
        <v/>
      </c>
      <c r="F19" s="31" t="inlineStr">
        <is>
          <t>Thomas Petit</t>
        </is>
      </c>
      <c r="G19" s="33">
        <f>SUMIF(Clients!$G$4:$G$63,F19,Clients!$N$4:$N$63)</f>
        <v/>
      </c>
    </row>
    <row r="20">
      <c r="B20" s="31" t="inlineStr">
        <is>
          <t>Perdu</t>
        </is>
      </c>
      <c r="C20" s="32">
        <f>COUNTIF(Clients!$H$4:$H$63,B20)</f>
        <v/>
      </c>
    </row>
    <row r="23">
      <c r="B23" s="29" t="inlineStr">
        <is>
          <t>CA prévisionnel par segment</t>
        </is>
      </c>
    </row>
    <row r="24">
      <c r="B24" s="30" t="inlineStr">
        <is>
          <t>Segment</t>
        </is>
      </c>
      <c r="C24" s="30" t="inlineStr">
        <is>
          <t>CA prévu</t>
        </is>
      </c>
    </row>
    <row r="25">
      <c r="B25" s="31" t="inlineStr">
        <is>
          <t>Grand Compte</t>
        </is>
      </c>
      <c r="C25" s="33">
        <f>SUMIF(Clients!$F$4:$F$63,B25,Clients!$M$4:$M$63)</f>
        <v/>
      </c>
    </row>
    <row r="26">
      <c r="B26" s="31" t="inlineStr">
        <is>
          <t>PME</t>
        </is>
      </c>
      <c r="C26" s="33">
        <f>SUMIF(Clients!$F$4:$F$63,B26,Clients!$M$4:$M$63)</f>
        <v/>
      </c>
    </row>
    <row r="27">
      <c r="B27" s="31" t="inlineStr">
        <is>
          <t>TPE</t>
        </is>
      </c>
      <c r="C27" s="33">
        <f>SUMIF(Clients!$F$4:$F$63,B27,Clients!$M$4:$M$63)</f>
        <v/>
      </c>
    </row>
    <row r="28">
      <c r="B28" s="31" t="inlineStr">
        <is>
          <t>Particulier</t>
        </is>
      </c>
      <c r="C28" s="33">
        <f>SUMIF(Clients!$F$4:$F$63,B28,Clients!$M$4:$M$63)</f>
        <v/>
      </c>
    </row>
    <row r="62">
      <c r="B62" s="34" t="inlineStr">
        <is>
          <t>Astuce : ajoutez vos clients dans l'onglet « Clients » — le tableau de bord se met à jour tout seul.</t>
        </is>
      </c>
    </row>
  </sheetData>
  <mergeCells count="20">
    <mergeCell ref="B11:D11"/>
    <mergeCell ref="E10:G10"/>
    <mergeCell ref="B8:D8"/>
    <mergeCell ref="B1:J1"/>
    <mergeCell ref="H11:J11"/>
    <mergeCell ref="H7:J7"/>
    <mergeCell ref="B10:D10"/>
    <mergeCell ref="E11:G11"/>
    <mergeCell ref="E7:G7"/>
    <mergeCell ref="B5:D5"/>
    <mergeCell ref="H5:J5"/>
    <mergeCell ref="B4:D4"/>
    <mergeCell ref="H8:J8"/>
    <mergeCell ref="B7:D7"/>
    <mergeCell ref="H10:J10"/>
    <mergeCell ref="E5:G5"/>
    <mergeCell ref="E8:G8"/>
    <mergeCell ref="H4:J4"/>
    <mergeCell ref="E4:G4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5EAA"/>
    <outlinePr summaryBelow="1" summaryRight="1"/>
    <pageSetUpPr/>
  </sheetPr>
  <dimension ref="A1:Q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20" customWidth="1" min="3" max="3"/>
    <col width="26" customWidth="1" min="4" max="4"/>
    <col width="16" customWidth="1" min="5" max="5"/>
    <col width="15" customWidth="1" min="6" max="6"/>
    <col width="18" customWidth="1" min="7" max="7"/>
    <col width="16" customWidth="1" min="8" max="8"/>
    <col width="12" customWidth="1" min="9" max="9"/>
    <col width="13" customWidth="1" min="10" max="10"/>
    <col width="15" customWidth="1" min="11" max="11"/>
    <col width="16" customWidth="1" min="12" max="12"/>
    <col width="14" customWidth="1" min="13" max="13"/>
    <col width="15" customWidth="1" min="14" max="14"/>
    <col width="13" customWidth="1" min="15" max="15"/>
    <col width="18" customWidth="1" min="16" max="16"/>
    <col width="16" customWidth="1" min="17" max="17"/>
  </cols>
  <sheetData>
    <row r="1" ht="34" customHeight="1">
      <c r="A1" s="35" t="inlineStr">
        <is>
          <t>SUIVI CLIENTS — BASE DE DONNÉES</t>
        </is>
      </c>
    </row>
    <row r="2" ht="20" customHeight="1">
      <c r="A2" s="36" t="inlineStr">
        <is>
          <t>Complétez une ligne par client. Les colonnes grises se calculent automatiquement.</t>
        </is>
      </c>
    </row>
    <row r="3" ht="30" customHeight="1">
      <c r="A3" s="37" t="inlineStr">
        <is>
          <t>ID</t>
        </is>
      </c>
      <c r="B3" s="37" t="inlineStr">
        <is>
          <t>Entreprise</t>
        </is>
      </c>
      <c r="C3" s="37" t="inlineStr">
        <is>
          <t>Contact</t>
        </is>
      </c>
      <c r="D3" s="37" t="inlineStr">
        <is>
          <t>Email</t>
        </is>
      </c>
      <c r="E3" s="37" t="inlineStr">
        <is>
          <t>Téléphone</t>
        </is>
      </c>
      <c r="F3" s="37" t="inlineStr">
        <is>
          <t>Segment</t>
        </is>
      </c>
      <c r="G3" s="37" t="inlineStr">
        <is>
          <t>Commercial</t>
        </is>
      </c>
      <c r="H3" s="37" t="inlineStr">
        <is>
          <t>Statut</t>
        </is>
      </c>
      <c r="I3" s="37" t="inlineStr">
        <is>
          <t>Priorité</t>
        </is>
      </c>
      <c r="J3" s="37" t="inlineStr">
        <is>
          <t>Date entrée</t>
        </is>
      </c>
      <c r="K3" s="37" t="inlineStr">
        <is>
          <t>Dernier contact</t>
        </is>
      </c>
      <c r="L3" s="37" t="inlineStr">
        <is>
          <t>Prochaine relance</t>
        </is>
      </c>
      <c r="M3" s="37" t="inlineStr">
        <is>
          <t>CA prévu (€)</t>
        </is>
      </c>
      <c r="N3" s="37" t="inlineStr">
        <is>
          <t>CA réalisé (€)</t>
        </is>
      </c>
      <c r="O3" s="37" t="inlineStr">
        <is>
          <t>Satisfaction</t>
        </is>
      </c>
      <c r="P3" s="37" t="inlineStr">
        <is>
          <t>Jours depuis contact</t>
        </is>
      </c>
      <c r="Q3" s="37" t="inlineStr">
        <is>
          <t>Alerte relance</t>
        </is>
      </c>
    </row>
    <row r="4">
      <c r="A4" s="38">
        <f>IF(B4="","",TEXT(ROW()-3,"000"))</f>
        <v/>
      </c>
      <c r="B4" s="31" t="inlineStr">
        <is>
          <t>Nexora SAS</t>
        </is>
      </c>
      <c r="C4" s="31" t="inlineStr">
        <is>
          <t>Julie Renard</t>
        </is>
      </c>
      <c r="D4" s="31" t="inlineStr">
        <is>
          <t>j.renard@nexora.fr</t>
        </is>
      </c>
      <c r="E4" s="31" t="inlineStr">
        <is>
          <t>01 45 22 10 88</t>
        </is>
      </c>
      <c r="F4" s="31" t="inlineStr">
        <is>
          <t>Grand Compte</t>
        </is>
      </c>
      <c r="G4" s="31" t="inlineStr">
        <is>
          <t>Sophie Martin</t>
        </is>
      </c>
      <c r="H4" s="31" t="inlineStr">
        <is>
          <t>Actif</t>
        </is>
      </c>
      <c r="I4" s="31" t="inlineStr">
        <is>
          <t>Haute</t>
        </is>
      </c>
      <c r="J4" s="39" t="n">
        <v>45912</v>
      </c>
      <c r="K4" s="39" t="n">
        <v>46201</v>
      </c>
      <c r="L4" s="39" t="n">
        <v>46213</v>
      </c>
      <c r="M4" s="33" t="n">
        <v>48000</v>
      </c>
      <c r="N4" s="33" t="n">
        <v>42000</v>
      </c>
      <c r="O4" s="32" t="n">
        <v>5</v>
      </c>
      <c r="P4" s="40">
        <f>IF(K4="","",TODAY()-K4)</f>
        <v/>
      </c>
      <c r="Q4" s="40">
        <f>IF(L4="","",IF(L4&lt;TODAY(),"⚠ En retard",IF(L4&lt;=TODAY()+7,"◕ Bientôt","✓ OK")))</f>
        <v/>
      </c>
    </row>
    <row r="5">
      <c r="A5" s="38">
        <f>IF(B5="","",TEXT(ROW()-3,"000"))</f>
        <v/>
      </c>
      <c r="B5" s="41" t="inlineStr">
        <is>
          <t>Belmont Industries</t>
        </is>
      </c>
      <c r="C5" s="41" t="inlineStr">
        <is>
          <t>Marc Belmont</t>
        </is>
      </c>
      <c r="D5" s="41" t="inlineStr">
        <is>
          <t>marc@belmont-ind.com</t>
        </is>
      </c>
      <c r="E5" s="41" t="inlineStr">
        <is>
          <t>04 78 55 21 09</t>
        </is>
      </c>
      <c r="F5" s="41" t="inlineStr">
        <is>
          <t>PME</t>
        </is>
      </c>
      <c r="G5" s="41" t="inlineStr">
        <is>
          <t>Karim Benali</t>
        </is>
      </c>
      <c r="H5" s="41" t="inlineStr">
        <is>
          <t>En négociation</t>
        </is>
      </c>
      <c r="I5" s="41" t="inlineStr">
        <is>
          <t>Haute</t>
        </is>
      </c>
      <c r="J5" s="42" t="n">
        <v>46042</v>
      </c>
      <c r="K5" s="42" t="n">
        <v>46188</v>
      </c>
      <c r="L5" s="42" t="n">
        <v>46209</v>
      </c>
      <c r="M5" s="43" t="n">
        <v>32000</v>
      </c>
      <c r="N5" s="43" t="n">
        <v>0</v>
      </c>
      <c r="O5" s="44" t="n">
        <v>4</v>
      </c>
      <c r="P5" s="40">
        <f>IF(K5="","",TODAY()-K5)</f>
        <v/>
      </c>
      <c r="Q5" s="40">
        <f>IF(L5="","",IF(L5&lt;TODAY(),"⚠ En retard",IF(L5&lt;=TODAY()+7,"◕ Bientôt","✓ OK")))</f>
        <v/>
      </c>
    </row>
    <row r="6">
      <c r="A6" s="38">
        <f>IF(B6="","",TEXT(ROW()-3,"000"))</f>
        <v/>
      </c>
      <c r="B6" s="31" t="inlineStr">
        <is>
          <t>Studio Kaleido</t>
        </is>
      </c>
      <c r="C6" s="31" t="inlineStr">
        <is>
          <t>Inès Fabre</t>
        </is>
      </c>
      <c r="D6" s="31" t="inlineStr">
        <is>
          <t>ines@kaleido.io</t>
        </is>
      </c>
      <c r="E6" s="31" t="inlineStr">
        <is>
          <t>06 12 44 78 32</t>
        </is>
      </c>
      <c r="F6" s="31" t="inlineStr">
        <is>
          <t>TPE</t>
        </is>
      </c>
      <c r="G6" s="31" t="inlineStr">
        <is>
          <t>Léa Dubois</t>
        </is>
      </c>
      <c r="H6" s="31" t="inlineStr">
        <is>
          <t>Prospect</t>
        </is>
      </c>
      <c r="I6" s="31" t="inlineStr">
        <is>
          <t>Moyenne</t>
        </is>
      </c>
      <c r="J6" s="39" t="n">
        <v>46145</v>
      </c>
      <c r="K6" s="39" t="n">
        <v>46175</v>
      </c>
      <c r="L6" s="39" t="n">
        <v>46205</v>
      </c>
      <c r="M6" s="33" t="n">
        <v>8500</v>
      </c>
      <c r="N6" s="33" t="n">
        <v>0</v>
      </c>
      <c r="O6" s="32" t="n">
        <v>3</v>
      </c>
      <c r="P6" s="40">
        <f>IF(K6="","",TODAY()-K6)</f>
        <v/>
      </c>
      <c r="Q6" s="40">
        <f>IF(L6="","",IF(L6&lt;TODAY(),"⚠ En retard",IF(L6&lt;=TODAY()+7,"◕ Bientôt","✓ OK")))</f>
        <v/>
      </c>
    </row>
    <row r="7">
      <c r="A7" s="38">
        <f>IF(B7="","",TEXT(ROW()-3,"000"))</f>
        <v/>
      </c>
      <c r="B7" s="41" t="inlineStr">
        <is>
          <t>Groupe Vertige</t>
        </is>
      </c>
      <c r="C7" s="41" t="inlineStr">
        <is>
          <t>Paul Ancel</t>
        </is>
      </c>
      <c r="D7" s="41" t="inlineStr">
        <is>
          <t>p.ancel@vertige.fr</t>
        </is>
      </c>
      <c r="E7" s="41" t="inlineStr">
        <is>
          <t>01 88 90 33 12</t>
        </is>
      </c>
      <c r="F7" s="41" t="inlineStr">
        <is>
          <t>Grand Compte</t>
        </is>
      </c>
      <c r="G7" s="41" t="inlineStr">
        <is>
          <t>Thomas Petit</t>
        </is>
      </c>
      <c r="H7" s="41" t="inlineStr">
        <is>
          <t>Actif</t>
        </is>
      </c>
      <c r="I7" s="41" t="inlineStr">
        <is>
          <t>Haute</t>
        </is>
      </c>
      <c r="J7" s="42" t="n">
        <v>45604</v>
      </c>
      <c r="K7" s="42" t="n">
        <v>46204</v>
      </c>
      <c r="L7" s="42" t="n">
        <v>46223</v>
      </c>
      <c r="M7" s="43" t="n">
        <v>120000</v>
      </c>
      <c r="N7" s="43" t="n">
        <v>118000</v>
      </c>
      <c r="O7" s="44" t="n">
        <v>5</v>
      </c>
      <c r="P7" s="40">
        <f>IF(K7="","",TODAY()-K7)</f>
        <v/>
      </c>
      <c r="Q7" s="40">
        <f>IF(L7="","",IF(L7&lt;TODAY(),"⚠ En retard",IF(L7&lt;=TODAY()+7,"◕ Bientôt","✓ OK")))</f>
        <v/>
      </c>
    </row>
    <row r="8">
      <c r="A8" s="38">
        <f>IF(B8="","",TEXT(ROW()-3,"000"))</f>
        <v/>
      </c>
      <c r="B8" s="31" t="inlineStr">
        <is>
          <t>Atelier Doré</t>
        </is>
      </c>
      <c r="C8" s="31" t="inlineStr">
        <is>
          <t>Camille Roy</t>
        </is>
      </c>
      <c r="D8" s="31" t="inlineStr">
        <is>
          <t>contact@atelierdore.fr</t>
        </is>
      </c>
      <c r="E8" s="31" t="inlineStr">
        <is>
          <t>05 61 22 90 45</t>
        </is>
      </c>
      <c r="F8" s="31" t="inlineStr">
        <is>
          <t>TPE</t>
        </is>
      </c>
      <c r="G8" s="31" t="inlineStr">
        <is>
          <t>Sophie Martin</t>
        </is>
      </c>
      <c r="H8" s="31" t="inlineStr">
        <is>
          <t>Inactif</t>
        </is>
      </c>
      <c r="I8" s="31" t="inlineStr">
        <is>
          <t>Basse</t>
        </is>
      </c>
      <c r="J8" s="39" t="n">
        <v>45733</v>
      </c>
      <c r="K8" s="39" t="n">
        <v>46063</v>
      </c>
      <c r="L8" s="39" t="n">
        <v>46198</v>
      </c>
      <c r="M8" s="33" t="n">
        <v>6000</v>
      </c>
      <c r="N8" s="33" t="n">
        <v>6000</v>
      </c>
      <c r="O8" s="32" t="n">
        <v>2</v>
      </c>
      <c r="P8" s="40">
        <f>IF(K8="","",TODAY()-K8)</f>
        <v/>
      </c>
      <c r="Q8" s="40">
        <f>IF(L8="","",IF(L8&lt;TODAY(),"⚠ En retard",IF(L8&lt;=TODAY()+7,"◕ Bientôt","✓ OK")))</f>
        <v/>
      </c>
    </row>
    <row r="9">
      <c r="A9" s="38">
        <f>IF(B9="","",TEXT(ROW()-3,"000"))</f>
        <v/>
      </c>
      <c r="B9" s="41" t="inlineStr">
        <is>
          <t>Solaris Tech</t>
        </is>
      </c>
      <c r="C9" s="41" t="inlineStr">
        <is>
          <t>Yanis Khaled</t>
        </is>
      </c>
      <c r="D9" s="41" t="inlineStr">
        <is>
          <t>y.khaled@solaris.tech</t>
        </is>
      </c>
      <c r="E9" s="41" t="inlineStr">
        <is>
          <t>09 72 10 55 40</t>
        </is>
      </c>
      <c r="F9" s="41" t="inlineStr">
        <is>
          <t>PME</t>
        </is>
      </c>
      <c r="G9" s="41" t="inlineStr">
        <is>
          <t>Karim Benali</t>
        </is>
      </c>
      <c r="H9" s="41" t="inlineStr">
        <is>
          <t>Actif</t>
        </is>
      </c>
      <c r="I9" s="41" t="inlineStr">
        <is>
          <t>Moyenne</t>
        </is>
      </c>
      <c r="J9" s="42" t="n">
        <v>45839</v>
      </c>
      <c r="K9" s="42" t="n">
        <v>46193</v>
      </c>
      <c r="L9" s="42" t="n">
        <v>46215</v>
      </c>
      <c r="M9" s="43" t="n">
        <v>27000</v>
      </c>
      <c r="N9" s="43" t="n">
        <v>21000</v>
      </c>
      <c r="O9" s="44" t="n">
        <v>4</v>
      </c>
      <c r="P9" s="40">
        <f>IF(K9="","",TODAY()-K9)</f>
        <v/>
      </c>
      <c r="Q9" s="40">
        <f>IF(L9="","",IF(L9&lt;TODAY(),"⚠ En retard",IF(L9&lt;=TODAY()+7,"◕ Bientôt","✓ OK")))</f>
        <v/>
      </c>
    </row>
    <row r="10">
      <c r="A10" s="38">
        <f>IF(B10="","",TEXT(ROW()-3,"000"))</f>
        <v/>
      </c>
      <c r="B10" s="31" t="inlineStr">
        <is>
          <t>Maison Lauren</t>
        </is>
      </c>
      <c r="C10" s="31" t="inlineStr">
        <is>
          <t>Éléonore Vasseur</t>
        </is>
      </c>
      <c r="D10" s="31" t="inlineStr">
        <is>
          <t>e.vasseur@maisonlauren.fr</t>
        </is>
      </c>
      <c r="E10" s="31" t="inlineStr">
        <is>
          <t>01 42 78 66 21</t>
        </is>
      </c>
      <c r="F10" s="31" t="inlineStr">
        <is>
          <t>PME</t>
        </is>
      </c>
      <c r="G10" s="31" t="inlineStr">
        <is>
          <t>Léa Dubois</t>
        </is>
      </c>
      <c r="H10" s="31" t="inlineStr">
        <is>
          <t>En négociation</t>
        </is>
      </c>
      <c r="I10" s="31" t="inlineStr">
        <is>
          <t>Haute</t>
        </is>
      </c>
      <c r="J10" s="39" t="n">
        <v>46067</v>
      </c>
      <c r="K10" s="39" t="n">
        <v>46203</v>
      </c>
      <c r="L10" s="39" t="n">
        <v>46211</v>
      </c>
      <c r="M10" s="33" t="n">
        <v>41000</v>
      </c>
      <c r="N10" s="33" t="n">
        <v>0</v>
      </c>
      <c r="O10" s="32" t="n">
        <v>4</v>
      </c>
      <c r="P10" s="40">
        <f>IF(K10="","",TODAY()-K10)</f>
        <v/>
      </c>
      <c r="Q10" s="40">
        <f>IF(L10="","",IF(L10&lt;TODAY(),"⚠ En retard",IF(L10&lt;=TODAY()+7,"◕ Bientôt","✓ OK")))</f>
        <v/>
      </c>
    </row>
    <row r="11">
      <c r="A11" s="38">
        <f>IF(B11="","",TEXT(ROW()-3,"000"))</f>
        <v/>
      </c>
      <c r="B11" s="41" t="inlineStr">
        <is>
          <t>Cirrus Analytics</t>
        </is>
      </c>
      <c r="C11" s="41" t="inlineStr">
        <is>
          <t>David Nkemba</t>
        </is>
      </c>
      <c r="D11" s="41" t="inlineStr">
        <is>
          <t>david@cirrus.ai</t>
        </is>
      </c>
      <c r="E11" s="41" t="inlineStr">
        <is>
          <t>07 55 88 12 03</t>
        </is>
      </c>
      <c r="F11" s="41" t="inlineStr">
        <is>
          <t>Grand Compte</t>
        </is>
      </c>
      <c r="G11" s="41" t="inlineStr">
        <is>
          <t>Thomas Petit</t>
        </is>
      </c>
      <c r="H11" s="41" t="inlineStr">
        <is>
          <t>Prospect</t>
        </is>
      </c>
      <c r="I11" s="41" t="inlineStr">
        <is>
          <t>Haute</t>
        </is>
      </c>
      <c r="J11" s="42" t="n">
        <v>46174</v>
      </c>
      <c r="K11" s="42" t="n">
        <v>46199</v>
      </c>
      <c r="L11" s="42" t="n">
        <v>46218</v>
      </c>
      <c r="M11" s="43" t="n">
        <v>95000</v>
      </c>
      <c r="N11" s="43" t="n">
        <v>0</v>
      </c>
      <c r="O11" s="44" t="n">
        <v>3</v>
      </c>
      <c r="P11" s="40">
        <f>IF(K11="","",TODAY()-K11)</f>
        <v/>
      </c>
      <c r="Q11" s="40">
        <f>IF(L11="","",IF(L11&lt;TODAY(),"⚠ En retard",IF(L11&lt;=TODAY()+7,"◕ Bientôt","✓ OK")))</f>
        <v/>
      </c>
    </row>
    <row r="12">
      <c r="A12" s="38">
        <f>IF(B12="","",TEXT(ROW()-3,"000"))</f>
        <v/>
      </c>
      <c r="B12" s="31" t="inlineStr">
        <is>
          <t>Brasserie du Port</t>
        </is>
      </c>
      <c r="C12" s="31" t="inlineStr">
        <is>
          <t>Lucie Faure</t>
        </is>
      </c>
      <c r="D12" s="31" t="inlineStr">
        <is>
          <t>lucie@brasserieport.fr</t>
        </is>
      </c>
      <c r="E12" s="31" t="inlineStr">
        <is>
          <t>02 40 33 11 78</t>
        </is>
      </c>
      <c r="F12" s="31" t="inlineStr">
        <is>
          <t>TPE</t>
        </is>
      </c>
      <c r="G12" s="31" t="inlineStr">
        <is>
          <t>Sophie Martin</t>
        </is>
      </c>
      <c r="H12" s="31" t="inlineStr">
        <is>
          <t>Actif</t>
        </is>
      </c>
      <c r="I12" s="31" t="inlineStr">
        <is>
          <t>Basse</t>
        </is>
      </c>
      <c r="J12" s="39" t="n">
        <v>45952</v>
      </c>
      <c r="K12" s="39" t="n">
        <v>46160</v>
      </c>
      <c r="L12" s="39" t="n">
        <v>46203</v>
      </c>
      <c r="M12" s="33" t="n">
        <v>5200</v>
      </c>
      <c r="N12" s="33" t="n">
        <v>4800</v>
      </c>
      <c r="O12" s="32" t="n">
        <v>4</v>
      </c>
      <c r="P12" s="40">
        <f>IF(K12="","",TODAY()-K12)</f>
        <v/>
      </c>
      <c r="Q12" s="40">
        <f>IF(L12="","",IF(L12&lt;TODAY(),"⚠ En retard",IF(L12&lt;=TODAY()+7,"◕ Bientôt","✓ OK")))</f>
        <v/>
      </c>
    </row>
    <row r="13">
      <c r="A13" s="38">
        <f>IF(B13="","",TEXT(ROW()-3,"000"))</f>
        <v/>
      </c>
      <c r="B13" s="41" t="inlineStr">
        <is>
          <t>Onyx Mobilier</t>
        </is>
      </c>
      <c r="C13" s="41" t="inlineStr">
        <is>
          <t>Rachid Slimani</t>
        </is>
      </c>
      <c r="D13" s="41" t="inlineStr">
        <is>
          <t>r.slimani@onyx-mob.fr</t>
        </is>
      </c>
      <c r="E13" s="41" t="inlineStr">
        <is>
          <t>03 20 45 78 66</t>
        </is>
      </c>
      <c r="F13" s="41" t="inlineStr">
        <is>
          <t>PME</t>
        </is>
      </c>
      <c r="G13" s="41" t="inlineStr">
        <is>
          <t>Karim Benali</t>
        </is>
      </c>
      <c r="H13" s="41" t="inlineStr">
        <is>
          <t>Perdu</t>
        </is>
      </c>
      <c r="I13" s="41" t="inlineStr">
        <is>
          <t>Basse</t>
        </is>
      </c>
      <c r="J13" s="42" t="n">
        <v>45756</v>
      </c>
      <c r="K13" s="42" t="n">
        <v>46037</v>
      </c>
      <c r="L13" s="42" t="n">
        <v>46188</v>
      </c>
      <c r="M13" s="43" t="n">
        <v>18000</v>
      </c>
      <c r="N13" s="43" t="n">
        <v>0</v>
      </c>
      <c r="O13" s="44" t="n">
        <v>1</v>
      </c>
      <c r="P13" s="40">
        <f>IF(K13="","",TODAY()-K13)</f>
        <v/>
      </c>
      <c r="Q13" s="40">
        <f>IF(L13="","",IF(L13&lt;TODAY(),"⚠ En retard",IF(L13&lt;=TODAY()+7,"◕ Bientôt","✓ OK")))</f>
        <v/>
      </c>
    </row>
    <row r="14">
      <c r="A14" s="38">
        <f>IF(B14="","",TEXT(ROW()-3,"000"))</f>
        <v/>
      </c>
      <c r="B14" s="31" t="inlineStr">
        <is>
          <t>Lumen Santé</t>
        </is>
      </c>
      <c r="C14" s="31" t="inlineStr">
        <is>
          <t>Agnès Morel</t>
        </is>
      </c>
      <c r="D14" s="31" t="inlineStr">
        <is>
          <t>a.morel@lumensante.fr</t>
        </is>
      </c>
      <c r="E14" s="31" t="inlineStr">
        <is>
          <t>01 55 66 77 88</t>
        </is>
      </c>
      <c r="F14" s="31" t="inlineStr">
        <is>
          <t>Grand Compte</t>
        </is>
      </c>
      <c r="G14" s="31" t="inlineStr">
        <is>
          <t>Léa Dubois</t>
        </is>
      </c>
      <c r="H14" s="31" t="inlineStr">
        <is>
          <t>Actif</t>
        </is>
      </c>
      <c r="I14" s="31" t="inlineStr">
        <is>
          <t>Moyenne</t>
        </is>
      </c>
      <c r="J14" s="39" t="n">
        <v>45687</v>
      </c>
      <c r="K14" s="39" t="n">
        <v>46202</v>
      </c>
      <c r="L14" s="39" t="n">
        <v>46221</v>
      </c>
      <c r="M14" s="33" t="n">
        <v>76000</v>
      </c>
      <c r="N14" s="33" t="n">
        <v>70000</v>
      </c>
      <c r="O14" s="32" t="n">
        <v>5</v>
      </c>
      <c r="P14" s="40">
        <f>IF(K14="","",TODAY()-K14)</f>
        <v/>
      </c>
      <c r="Q14" s="40">
        <f>IF(L14="","",IF(L14&lt;TODAY(),"⚠ En retard",IF(L14&lt;=TODAY()+7,"◕ Bientôt","✓ OK")))</f>
        <v/>
      </c>
    </row>
    <row r="15">
      <c r="A15" s="38">
        <f>IF(B15="","",TEXT(ROW()-3,"000"))</f>
        <v/>
      </c>
      <c r="B15" s="41" t="inlineStr">
        <is>
          <t>Pixel Forge</t>
        </is>
      </c>
      <c r="C15" s="41" t="inlineStr">
        <is>
          <t>Tom Girard</t>
        </is>
      </c>
      <c r="D15" s="41" t="inlineStr">
        <is>
          <t>tom@pixelforge.dev</t>
        </is>
      </c>
      <c r="E15" s="41" t="inlineStr">
        <is>
          <t>06 78 90 12 34</t>
        </is>
      </c>
      <c r="F15" s="41" t="inlineStr">
        <is>
          <t>TPE</t>
        </is>
      </c>
      <c r="G15" s="41" t="inlineStr">
        <is>
          <t>Thomas Petit</t>
        </is>
      </c>
      <c r="H15" s="41" t="inlineStr">
        <is>
          <t>Prospect</t>
        </is>
      </c>
      <c r="I15" s="41" t="inlineStr">
        <is>
          <t>Moyenne</t>
        </is>
      </c>
      <c r="J15" s="42" t="n">
        <v>46183</v>
      </c>
      <c r="K15" s="42" t="n">
        <v>46195</v>
      </c>
      <c r="L15" s="42" t="n">
        <v>46207</v>
      </c>
      <c r="M15" s="43" t="n">
        <v>9800</v>
      </c>
      <c r="N15" s="43" t="n">
        <v>0</v>
      </c>
      <c r="O15" s="44" t="n">
        <v>3</v>
      </c>
      <c r="P15" s="40">
        <f>IF(K15="","",TODAY()-K15)</f>
        <v/>
      </c>
      <c r="Q15" s="40">
        <f>IF(L15="","",IF(L15&lt;TODAY(),"⚠ En retard",IF(L15&lt;=TODAY()+7,"◕ Bientôt","✓ OK")))</f>
        <v/>
      </c>
    </row>
    <row r="16">
      <c r="A16" s="38">
        <f>IF(B16="","",TEXT(ROW()-3,"000"))</f>
        <v/>
      </c>
      <c r="B16" s="31" t="n"/>
      <c r="C16" s="31" t="n"/>
      <c r="D16" s="31" t="n"/>
      <c r="E16" s="31" t="n"/>
      <c r="F16" s="31" t="n"/>
      <c r="G16" s="31" t="n"/>
      <c r="H16" s="31" t="n"/>
      <c r="I16" s="31" t="n"/>
      <c r="J16" s="39" t="n"/>
      <c r="K16" s="39" t="n"/>
      <c r="L16" s="39" t="n"/>
      <c r="M16" s="33" t="n"/>
      <c r="N16" s="33" t="n"/>
      <c r="O16" s="32" t="n"/>
      <c r="P16" s="40">
        <f>IF(K16="","",TODAY()-K16)</f>
        <v/>
      </c>
      <c r="Q16" s="40">
        <f>IF(L16="","",IF(L16&lt;TODAY(),"⚠ En retard",IF(L16&lt;=TODAY()+7,"◕ Bientôt","✓ OK")))</f>
        <v/>
      </c>
    </row>
    <row r="17">
      <c r="A17" s="38">
        <f>IF(B17="","",TEXT(ROW()-3,"000"))</f>
        <v/>
      </c>
      <c r="B17" s="41" t="n"/>
      <c r="C17" s="41" t="n"/>
      <c r="D17" s="41" t="n"/>
      <c r="E17" s="41" t="n"/>
      <c r="F17" s="41" t="n"/>
      <c r="G17" s="41" t="n"/>
      <c r="H17" s="41" t="n"/>
      <c r="I17" s="41" t="n"/>
      <c r="J17" s="42" t="n"/>
      <c r="K17" s="42" t="n"/>
      <c r="L17" s="42" t="n"/>
      <c r="M17" s="43" t="n"/>
      <c r="N17" s="43" t="n"/>
      <c r="O17" s="44" t="n"/>
      <c r="P17" s="40">
        <f>IF(K17="","",TODAY()-K17)</f>
        <v/>
      </c>
      <c r="Q17" s="40">
        <f>IF(L17="","",IF(L17&lt;TODAY(),"⚠ En retard",IF(L17&lt;=TODAY()+7,"◕ Bientôt","✓ OK")))</f>
        <v/>
      </c>
    </row>
    <row r="18">
      <c r="A18" s="38">
        <f>IF(B18="","",TEXT(ROW()-3,"000"))</f>
        <v/>
      </c>
      <c r="B18" s="31" t="n"/>
      <c r="C18" s="31" t="n"/>
      <c r="D18" s="31" t="n"/>
      <c r="E18" s="31" t="n"/>
      <c r="F18" s="31" t="n"/>
      <c r="G18" s="31" t="n"/>
      <c r="H18" s="31" t="n"/>
      <c r="I18" s="31" t="n"/>
      <c r="J18" s="39" t="n"/>
      <c r="K18" s="39" t="n"/>
      <c r="L18" s="39" t="n"/>
      <c r="M18" s="33" t="n"/>
      <c r="N18" s="33" t="n"/>
      <c r="O18" s="32" t="n"/>
      <c r="P18" s="40">
        <f>IF(K18="","",TODAY()-K18)</f>
        <v/>
      </c>
      <c r="Q18" s="40">
        <f>IF(L18="","",IF(L18&lt;TODAY(),"⚠ En retard",IF(L18&lt;=TODAY()+7,"◕ Bientôt","✓ OK")))</f>
        <v/>
      </c>
    </row>
    <row r="19">
      <c r="A19" s="38">
        <f>IF(B19="","",TEXT(ROW()-3,"000"))</f>
        <v/>
      </c>
      <c r="B19" s="41" t="n"/>
      <c r="C19" s="41" t="n"/>
      <c r="D19" s="41" t="n"/>
      <c r="E19" s="41" t="n"/>
      <c r="F19" s="41" t="n"/>
      <c r="G19" s="41" t="n"/>
      <c r="H19" s="41" t="n"/>
      <c r="I19" s="41" t="n"/>
      <c r="J19" s="42" t="n"/>
      <c r="K19" s="42" t="n"/>
      <c r="L19" s="42" t="n"/>
      <c r="M19" s="43" t="n"/>
      <c r="N19" s="43" t="n"/>
      <c r="O19" s="44" t="n"/>
      <c r="P19" s="40">
        <f>IF(K19="","",TODAY()-K19)</f>
        <v/>
      </c>
      <c r="Q19" s="40">
        <f>IF(L19="","",IF(L19&lt;TODAY(),"⚠ En retard",IF(L19&lt;=TODAY()+7,"◕ Bientôt","✓ OK")))</f>
        <v/>
      </c>
    </row>
    <row r="20">
      <c r="A20" s="38">
        <f>IF(B20="","",TEXT(ROW()-3,"000"))</f>
        <v/>
      </c>
      <c r="B20" s="31" t="n"/>
      <c r="C20" s="31" t="n"/>
      <c r="D20" s="31" t="n"/>
      <c r="E20" s="31" t="n"/>
      <c r="F20" s="31" t="n"/>
      <c r="G20" s="31" t="n"/>
      <c r="H20" s="31" t="n"/>
      <c r="I20" s="31" t="n"/>
      <c r="J20" s="39" t="n"/>
      <c r="K20" s="39" t="n"/>
      <c r="L20" s="39" t="n"/>
      <c r="M20" s="33" t="n"/>
      <c r="N20" s="33" t="n"/>
      <c r="O20" s="32" t="n"/>
      <c r="P20" s="40">
        <f>IF(K20="","",TODAY()-K20)</f>
        <v/>
      </c>
      <c r="Q20" s="40">
        <f>IF(L20="","",IF(L20&lt;TODAY(),"⚠ En retard",IF(L20&lt;=TODAY()+7,"◕ Bientôt","✓ OK")))</f>
        <v/>
      </c>
    </row>
    <row r="21">
      <c r="A21" s="38">
        <f>IF(B21="","",TEXT(ROW()-3,"000"))</f>
        <v/>
      </c>
      <c r="B21" s="41" t="n"/>
      <c r="C21" s="41" t="n"/>
      <c r="D21" s="41" t="n"/>
      <c r="E21" s="41" t="n"/>
      <c r="F21" s="41" t="n"/>
      <c r="G21" s="41" t="n"/>
      <c r="H21" s="41" t="n"/>
      <c r="I21" s="41" t="n"/>
      <c r="J21" s="42" t="n"/>
      <c r="K21" s="42" t="n"/>
      <c r="L21" s="42" t="n"/>
      <c r="M21" s="43" t="n"/>
      <c r="N21" s="43" t="n"/>
      <c r="O21" s="44" t="n"/>
      <c r="P21" s="40">
        <f>IF(K21="","",TODAY()-K21)</f>
        <v/>
      </c>
      <c r="Q21" s="40">
        <f>IF(L21="","",IF(L21&lt;TODAY(),"⚠ En retard",IF(L21&lt;=TODAY()+7,"◕ Bientôt","✓ OK")))</f>
        <v/>
      </c>
    </row>
    <row r="22">
      <c r="A22" s="38">
        <f>IF(B22="","",TEXT(ROW()-3,"000"))</f>
        <v/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9" t="n"/>
      <c r="K22" s="39" t="n"/>
      <c r="L22" s="39" t="n"/>
      <c r="M22" s="33" t="n"/>
      <c r="N22" s="33" t="n"/>
      <c r="O22" s="32" t="n"/>
      <c r="P22" s="40">
        <f>IF(K22="","",TODAY()-K22)</f>
        <v/>
      </c>
      <c r="Q22" s="40">
        <f>IF(L22="","",IF(L22&lt;TODAY(),"⚠ En retard",IF(L22&lt;=TODAY()+7,"◕ Bientôt","✓ OK")))</f>
        <v/>
      </c>
    </row>
    <row r="23">
      <c r="A23" s="38">
        <f>IF(B23="","",TEXT(ROW()-3,"000"))</f>
        <v/>
      </c>
      <c r="B23" s="41" t="n"/>
      <c r="C23" s="41" t="n"/>
      <c r="D23" s="41" t="n"/>
      <c r="E23" s="41" t="n"/>
      <c r="F23" s="41" t="n"/>
      <c r="G23" s="41" t="n"/>
      <c r="H23" s="41" t="n"/>
      <c r="I23" s="41" t="n"/>
      <c r="J23" s="42" t="n"/>
      <c r="K23" s="42" t="n"/>
      <c r="L23" s="42" t="n"/>
      <c r="M23" s="43" t="n"/>
      <c r="N23" s="43" t="n"/>
      <c r="O23" s="44" t="n"/>
      <c r="P23" s="40">
        <f>IF(K23="","",TODAY()-K23)</f>
        <v/>
      </c>
      <c r="Q23" s="40">
        <f>IF(L23="","",IF(L23&lt;TODAY(),"⚠ En retard",IF(L23&lt;=TODAY()+7,"◕ Bientôt","✓ OK")))</f>
        <v/>
      </c>
    </row>
    <row r="24">
      <c r="A24" s="38">
        <f>IF(B24="","",TEXT(ROW()-3,"000"))</f>
        <v/>
      </c>
      <c r="B24" s="31" t="n"/>
      <c r="C24" s="31" t="n"/>
      <c r="D24" s="31" t="n"/>
      <c r="E24" s="31" t="n"/>
      <c r="F24" s="31" t="n"/>
      <c r="G24" s="31" t="n"/>
      <c r="H24" s="31" t="n"/>
      <c r="I24" s="31" t="n"/>
      <c r="J24" s="39" t="n"/>
      <c r="K24" s="39" t="n"/>
      <c r="L24" s="39" t="n"/>
      <c r="M24" s="33" t="n"/>
      <c r="N24" s="33" t="n"/>
      <c r="O24" s="32" t="n"/>
      <c r="P24" s="40">
        <f>IF(K24="","",TODAY()-K24)</f>
        <v/>
      </c>
      <c r="Q24" s="40">
        <f>IF(L24="","",IF(L24&lt;TODAY(),"⚠ En retard",IF(L24&lt;=TODAY()+7,"◕ Bientôt","✓ OK")))</f>
        <v/>
      </c>
    </row>
    <row r="25">
      <c r="A25" s="38">
        <f>IF(B25="","",TEXT(ROW()-3,"000"))</f>
        <v/>
      </c>
      <c r="B25" s="41" t="n"/>
      <c r="C25" s="41" t="n"/>
      <c r="D25" s="41" t="n"/>
      <c r="E25" s="41" t="n"/>
      <c r="F25" s="41" t="n"/>
      <c r="G25" s="41" t="n"/>
      <c r="H25" s="41" t="n"/>
      <c r="I25" s="41" t="n"/>
      <c r="J25" s="42" t="n"/>
      <c r="K25" s="42" t="n"/>
      <c r="L25" s="42" t="n"/>
      <c r="M25" s="43" t="n"/>
      <c r="N25" s="43" t="n"/>
      <c r="O25" s="44" t="n"/>
      <c r="P25" s="40">
        <f>IF(K25="","",TODAY()-K25)</f>
        <v/>
      </c>
      <c r="Q25" s="40">
        <f>IF(L25="","",IF(L25&lt;TODAY(),"⚠ En retard",IF(L25&lt;=TODAY()+7,"◕ Bientôt","✓ OK")))</f>
        <v/>
      </c>
    </row>
    <row r="26">
      <c r="A26" s="38">
        <f>IF(B26="","",TEXT(ROW()-3,"000"))</f>
        <v/>
      </c>
      <c r="B26" s="31" t="n"/>
      <c r="C26" s="31" t="n"/>
      <c r="D26" s="31" t="n"/>
      <c r="E26" s="31" t="n"/>
      <c r="F26" s="31" t="n"/>
      <c r="G26" s="31" t="n"/>
      <c r="H26" s="31" t="n"/>
      <c r="I26" s="31" t="n"/>
      <c r="J26" s="39" t="n"/>
      <c r="K26" s="39" t="n"/>
      <c r="L26" s="39" t="n"/>
      <c r="M26" s="33" t="n"/>
      <c r="N26" s="33" t="n"/>
      <c r="O26" s="32" t="n"/>
      <c r="P26" s="40">
        <f>IF(K26="","",TODAY()-K26)</f>
        <v/>
      </c>
      <c r="Q26" s="40">
        <f>IF(L26="","",IF(L26&lt;TODAY(),"⚠ En retard",IF(L26&lt;=TODAY()+7,"◕ Bientôt","✓ OK")))</f>
        <v/>
      </c>
    </row>
    <row r="27">
      <c r="A27" s="38">
        <f>IF(B27="","",TEXT(ROW()-3,"000"))</f>
        <v/>
      </c>
      <c r="B27" s="41" t="n"/>
      <c r="C27" s="41" t="n"/>
      <c r="D27" s="41" t="n"/>
      <c r="E27" s="41" t="n"/>
      <c r="F27" s="41" t="n"/>
      <c r="G27" s="41" t="n"/>
      <c r="H27" s="41" t="n"/>
      <c r="I27" s="41" t="n"/>
      <c r="J27" s="42" t="n"/>
      <c r="K27" s="42" t="n"/>
      <c r="L27" s="42" t="n"/>
      <c r="M27" s="43" t="n"/>
      <c r="N27" s="43" t="n"/>
      <c r="O27" s="44" t="n"/>
      <c r="P27" s="40">
        <f>IF(K27="","",TODAY()-K27)</f>
        <v/>
      </c>
      <c r="Q27" s="40">
        <f>IF(L27="","",IF(L27&lt;TODAY(),"⚠ En retard",IF(L27&lt;=TODAY()+7,"◕ Bientôt","✓ OK")))</f>
        <v/>
      </c>
    </row>
    <row r="28">
      <c r="A28" s="38">
        <f>IF(B28="","",TEXT(ROW()-3,"000"))</f>
        <v/>
      </c>
      <c r="B28" s="31" t="n"/>
      <c r="C28" s="31" t="n"/>
      <c r="D28" s="31" t="n"/>
      <c r="E28" s="31" t="n"/>
      <c r="F28" s="31" t="n"/>
      <c r="G28" s="31" t="n"/>
      <c r="H28" s="31" t="n"/>
      <c r="I28" s="31" t="n"/>
      <c r="J28" s="39" t="n"/>
      <c r="K28" s="39" t="n"/>
      <c r="L28" s="39" t="n"/>
      <c r="M28" s="33" t="n"/>
      <c r="N28" s="33" t="n"/>
      <c r="O28" s="32" t="n"/>
      <c r="P28" s="40">
        <f>IF(K28="","",TODAY()-K28)</f>
        <v/>
      </c>
      <c r="Q28" s="40">
        <f>IF(L28="","",IF(L28&lt;TODAY(),"⚠ En retard",IF(L28&lt;=TODAY()+7,"◕ Bientôt","✓ OK")))</f>
        <v/>
      </c>
    </row>
    <row r="29">
      <c r="A29" s="38">
        <f>IF(B29="","",TEXT(ROW()-3,"000"))</f>
        <v/>
      </c>
      <c r="B29" s="41" t="n"/>
      <c r="C29" s="41" t="n"/>
      <c r="D29" s="41" t="n"/>
      <c r="E29" s="41" t="n"/>
      <c r="F29" s="41" t="n"/>
      <c r="G29" s="41" t="n"/>
      <c r="H29" s="41" t="n"/>
      <c r="I29" s="41" t="n"/>
      <c r="J29" s="42" t="n"/>
      <c r="K29" s="42" t="n"/>
      <c r="L29" s="42" t="n"/>
      <c r="M29" s="43" t="n"/>
      <c r="N29" s="43" t="n"/>
      <c r="O29" s="44" t="n"/>
      <c r="P29" s="40">
        <f>IF(K29="","",TODAY()-K29)</f>
        <v/>
      </c>
      <c r="Q29" s="40">
        <f>IF(L29="","",IF(L29&lt;TODAY(),"⚠ En retard",IF(L29&lt;=TODAY()+7,"◕ Bientôt","✓ OK")))</f>
        <v/>
      </c>
    </row>
    <row r="30">
      <c r="A30" s="38">
        <f>IF(B30="","",TEXT(ROW()-3,"000"))</f>
        <v/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9" t="n"/>
      <c r="K30" s="39" t="n"/>
      <c r="L30" s="39" t="n"/>
      <c r="M30" s="33" t="n"/>
      <c r="N30" s="33" t="n"/>
      <c r="O30" s="32" t="n"/>
      <c r="P30" s="40">
        <f>IF(K30="","",TODAY()-K30)</f>
        <v/>
      </c>
      <c r="Q30" s="40">
        <f>IF(L30="","",IF(L30&lt;TODAY(),"⚠ En retard",IF(L30&lt;=TODAY()+7,"◕ Bientôt","✓ OK")))</f>
        <v/>
      </c>
    </row>
    <row r="31">
      <c r="A31" s="38">
        <f>IF(B31="","",TEXT(ROW()-3,"000"))</f>
        <v/>
      </c>
      <c r="B31" s="41" t="n"/>
      <c r="C31" s="41" t="n"/>
      <c r="D31" s="41" t="n"/>
      <c r="E31" s="41" t="n"/>
      <c r="F31" s="41" t="n"/>
      <c r="G31" s="41" t="n"/>
      <c r="H31" s="41" t="n"/>
      <c r="I31" s="41" t="n"/>
      <c r="J31" s="42" t="n"/>
      <c r="K31" s="42" t="n"/>
      <c r="L31" s="42" t="n"/>
      <c r="M31" s="43" t="n"/>
      <c r="N31" s="43" t="n"/>
      <c r="O31" s="44" t="n"/>
      <c r="P31" s="40">
        <f>IF(K31="","",TODAY()-K31)</f>
        <v/>
      </c>
      <c r="Q31" s="40">
        <f>IF(L31="","",IF(L31&lt;TODAY(),"⚠ En retard",IF(L31&lt;=TODAY()+7,"◕ Bientôt","✓ OK")))</f>
        <v/>
      </c>
    </row>
    <row r="32">
      <c r="A32" s="38">
        <f>IF(B32="","",TEXT(ROW()-3,"000"))</f>
        <v/>
      </c>
      <c r="B32" s="31" t="n"/>
      <c r="C32" s="31" t="n"/>
      <c r="D32" s="31" t="n"/>
      <c r="E32" s="31" t="n"/>
      <c r="F32" s="31" t="n"/>
      <c r="G32" s="31" t="n"/>
      <c r="H32" s="31" t="n"/>
      <c r="I32" s="31" t="n"/>
      <c r="J32" s="39" t="n"/>
      <c r="K32" s="39" t="n"/>
      <c r="L32" s="39" t="n"/>
      <c r="M32" s="33" t="n"/>
      <c r="N32" s="33" t="n"/>
      <c r="O32" s="32" t="n"/>
      <c r="P32" s="40">
        <f>IF(K32="","",TODAY()-K32)</f>
        <v/>
      </c>
      <c r="Q32" s="40">
        <f>IF(L32="","",IF(L32&lt;TODAY(),"⚠ En retard",IF(L32&lt;=TODAY()+7,"◕ Bientôt","✓ OK")))</f>
        <v/>
      </c>
    </row>
    <row r="33">
      <c r="A33" s="38">
        <f>IF(B33="","",TEXT(ROW()-3,"000"))</f>
        <v/>
      </c>
      <c r="B33" s="41" t="n"/>
      <c r="C33" s="41" t="n"/>
      <c r="D33" s="41" t="n"/>
      <c r="E33" s="41" t="n"/>
      <c r="F33" s="41" t="n"/>
      <c r="G33" s="41" t="n"/>
      <c r="H33" s="41" t="n"/>
      <c r="I33" s="41" t="n"/>
      <c r="J33" s="42" t="n"/>
      <c r="K33" s="42" t="n"/>
      <c r="L33" s="42" t="n"/>
      <c r="M33" s="43" t="n"/>
      <c r="N33" s="43" t="n"/>
      <c r="O33" s="44" t="n"/>
      <c r="P33" s="40">
        <f>IF(K33="","",TODAY()-K33)</f>
        <v/>
      </c>
      <c r="Q33" s="40">
        <f>IF(L33="","",IF(L33&lt;TODAY(),"⚠ En retard",IF(L33&lt;=TODAY()+7,"◕ Bientôt","✓ OK")))</f>
        <v/>
      </c>
    </row>
    <row r="34">
      <c r="A34" s="38">
        <f>IF(B34="","",TEXT(ROW()-3,"000"))</f>
        <v/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9" t="n"/>
      <c r="K34" s="39" t="n"/>
      <c r="L34" s="39" t="n"/>
      <c r="M34" s="33" t="n"/>
      <c r="N34" s="33" t="n"/>
      <c r="O34" s="32" t="n"/>
      <c r="P34" s="40">
        <f>IF(K34="","",TODAY()-K34)</f>
        <v/>
      </c>
      <c r="Q34" s="40">
        <f>IF(L34="","",IF(L34&lt;TODAY(),"⚠ En retard",IF(L34&lt;=TODAY()+7,"◕ Bientôt","✓ OK")))</f>
        <v/>
      </c>
    </row>
    <row r="35">
      <c r="A35" s="38">
        <f>IF(B35="","",TEXT(ROW()-3,"000"))</f>
        <v/>
      </c>
      <c r="B35" s="41" t="n"/>
      <c r="C35" s="41" t="n"/>
      <c r="D35" s="41" t="n"/>
      <c r="E35" s="41" t="n"/>
      <c r="F35" s="41" t="n"/>
      <c r="G35" s="41" t="n"/>
      <c r="H35" s="41" t="n"/>
      <c r="I35" s="41" t="n"/>
      <c r="J35" s="42" t="n"/>
      <c r="K35" s="42" t="n"/>
      <c r="L35" s="42" t="n"/>
      <c r="M35" s="43" t="n"/>
      <c r="N35" s="43" t="n"/>
      <c r="O35" s="44" t="n"/>
      <c r="P35" s="40">
        <f>IF(K35="","",TODAY()-K35)</f>
        <v/>
      </c>
      <c r="Q35" s="40">
        <f>IF(L35="","",IF(L35&lt;TODAY(),"⚠ En retard",IF(L35&lt;=TODAY()+7,"◕ Bientôt","✓ OK")))</f>
        <v/>
      </c>
    </row>
    <row r="36">
      <c r="A36" s="38">
        <f>IF(B36="","",TEXT(ROW()-3,"000"))</f>
        <v/>
      </c>
      <c r="B36" s="31" t="n"/>
      <c r="C36" s="31" t="n"/>
      <c r="D36" s="31" t="n"/>
      <c r="E36" s="31" t="n"/>
      <c r="F36" s="31" t="n"/>
      <c r="G36" s="31" t="n"/>
      <c r="H36" s="31" t="n"/>
      <c r="I36" s="31" t="n"/>
      <c r="J36" s="39" t="n"/>
      <c r="K36" s="39" t="n"/>
      <c r="L36" s="39" t="n"/>
      <c r="M36" s="33" t="n"/>
      <c r="N36" s="33" t="n"/>
      <c r="O36" s="32" t="n"/>
      <c r="P36" s="40">
        <f>IF(K36="","",TODAY()-K36)</f>
        <v/>
      </c>
      <c r="Q36" s="40">
        <f>IF(L36="","",IF(L36&lt;TODAY(),"⚠ En retard",IF(L36&lt;=TODAY()+7,"◕ Bientôt","✓ OK")))</f>
        <v/>
      </c>
    </row>
    <row r="37">
      <c r="A37" s="38">
        <f>IF(B37="","",TEXT(ROW()-3,"000"))</f>
        <v/>
      </c>
      <c r="B37" s="41" t="n"/>
      <c r="C37" s="41" t="n"/>
      <c r="D37" s="41" t="n"/>
      <c r="E37" s="41" t="n"/>
      <c r="F37" s="41" t="n"/>
      <c r="G37" s="41" t="n"/>
      <c r="H37" s="41" t="n"/>
      <c r="I37" s="41" t="n"/>
      <c r="J37" s="42" t="n"/>
      <c r="K37" s="42" t="n"/>
      <c r="L37" s="42" t="n"/>
      <c r="M37" s="43" t="n"/>
      <c r="N37" s="43" t="n"/>
      <c r="O37" s="44" t="n"/>
      <c r="P37" s="40">
        <f>IF(K37="","",TODAY()-K37)</f>
        <v/>
      </c>
      <c r="Q37" s="40">
        <f>IF(L37="","",IF(L37&lt;TODAY(),"⚠ En retard",IF(L37&lt;=TODAY()+7,"◕ Bientôt","✓ OK")))</f>
        <v/>
      </c>
    </row>
    <row r="38">
      <c r="A38" s="38">
        <f>IF(B38="","",TEXT(ROW()-3,"000"))</f>
        <v/>
      </c>
      <c r="B38" s="31" t="n"/>
      <c r="C38" s="31" t="n"/>
      <c r="D38" s="31" t="n"/>
      <c r="E38" s="31" t="n"/>
      <c r="F38" s="31" t="n"/>
      <c r="G38" s="31" t="n"/>
      <c r="H38" s="31" t="n"/>
      <c r="I38" s="31" t="n"/>
      <c r="J38" s="39" t="n"/>
      <c r="K38" s="39" t="n"/>
      <c r="L38" s="39" t="n"/>
      <c r="M38" s="33" t="n"/>
      <c r="N38" s="33" t="n"/>
      <c r="O38" s="32" t="n"/>
      <c r="P38" s="40">
        <f>IF(K38="","",TODAY()-K38)</f>
        <v/>
      </c>
      <c r="Q38" s="40">
        <f>IF(L38="","",IF(L38&lt;TODAY(),"⚠ En retard",IF(L38&lt;=TODAY()+7,"◕ Bientôt","✓ OK")))</f>
        <v/>
      </c>
    </row>
    <row r="39">
      <c r="A39" s="38">
        <f>IF(B39="","",TEXT(ROW()-3,"000"))</f>
        <v/>
      </c>
      <c r="B39" s="41" t="n"/>
      <c r="C39" s="41" t="n"/>
      <c r="D39" s="41" t="n"/>
      <c r="E39" s="41" t="n"/>
      <c r="F39" s="41" t="n"/>
      <c r="G39" s="41" t="n"/>
      <c r="H39" s="41" t="n"/>
      <c r="I39" s="41" t="n"/>
      <c r="J39" s="42" t="n"/>
      <c r="K39" s="42" t="n"/>
      <c r="L39" s="42" t="n"/>
      <c r="M39" s="43" t="n"/>
      <c r="N39" s="43" t="n"/>
      <c r="O39" s="44" t="n"/>
      <c r="P39" s="40">
        <f>IF(K39="","",TODAY()-K39)</f>
        <v/>
      </c>
      <c r="Q39" s="40">
        <f>IF(L39="","",IF(L39&lt;TODAY(),"⚠ En retard",IF(L39&lt;=TODAY()+7,"◕ Bientôt","✓ OK")))</f>
        <v/>
      </c>
    </row>
    <row r="40">
      <c r="A40" s="38">
        <f>IF(B40="","",TEXT(ROW()-3,"000"))</f>
        <v/>
      </c>
      <c r="B40" s="31" t="n"/>
      <c r="C40" s="31" t="n"/>
      <c r="D40" s="31" t="n"/>
      <c r="E40" s="31" t="n"/>
      <c r="F40" s="31" t="n"/>
      <c r="G40" s="31" t="n"/>
      <c r="H40" s="31" t="n"/>
      <c r="I40" s="31" t="n"/>
      <c r="J40" s="39" t="n"/>
      <c r="K40" s="39" t="n"/>
      <c r="L40" s="39" t="n"/>
      <c r="M40" s="33" t="n"/>
      <c r="N40" s="33" t="n"/>
      <c r="O40" s="32" t="n"/>
      <c r="P40" s="40">
        <f>IF(K40="","",TODAY()-K40)</f>
        <v/>
      </c>
      <c r="Q40" s="40">
        <f>IF(L40="","",IF(L40&lt;TODAY(),"⚠ En retard",IF(L40&lt;=TODAY()+7,"◕ Bientôt","✓ OK")))</f>
        <v/>
      </c>
    </row>
    <row r="41">
      <c r="A41" s="38">
        <f>IF(B41="","",TEXT(ROW()-3,"000"))</f>
        <v/>
      </c>
      <c r="B41" s="41" t="n"/>
      <c r="C41" s="41" t="n"/>
      <c r="D41" s="41" t="n"/>
      <c r="E41" s="41" t="n"/>
      <c r="F41" s="41" t="n"/>
      <c r="G41" s="41" t="n"/>
      <c r="H41" s="41" t="n"/>
      <c r="I41" s="41" t="n"/>
      <c r="J41" s="42" t="n"/>
      <c r="K41" s="42" t="n"/>
      <c r="L41" s="42" t="n"/>
      <c r="M41" s="43" t="n"/>
      <c r="N41" s="43" t="n"/>
      <c r="O41" s="44" t="n"/>
      <c r="P41" s="40">
        <f>IF(K41="","",TODAY()-K41)</f>
        <v/>
      </c>
      <c r="Q41" s="40">
        <f>IF(L41="","",IF(L41&lt;TODAY(),"⚠ En retard",IF(L41&lt;=TODAY()+7,"◕ Bientôt","✓ OK")))</f>
        <v/>
      </c>
    </row>
    <row r="42">
      <c r="A42" s="38">
        <f>IF(B42="","",TEXT(ROW()-3,"000"))</f>
        <v/>
      </c>
      <c r="B42" s="31" t="n"/>
      <c r="C42" s="31" t="n"/>
      <c r="D42" s="31" t="n"/>
      <c r="E42" s="31" t="n"/>
      <c r="F42" s="31" t="n"/>
      <c r="G42" s="31" t="n"/>
      <c r="H42" s="31" t="n"/>
      <c r="I42" s="31" t="n"/>
      <c r="J42" s="39" t="n"/>
      <c r="K42" s="39" t="n"/>
      <c r="L42" s="39" t="n"/>
      <c r="M42" s="33" t="n"/>
      <c r="N42" s="33" t="n"/>
      <c r="O42" s="32" t="n"/>
      <c r="P42" s="40">
        <f>IF(K42="","",TODAY()-K42)</f>
        <v/>
      </c>
      <c r="Q42" s="40">
        <f>IF(L42="","",IF(L42&lt;TODAY(),"⚠ En retard",IF(L42&lt;=TODAY()+7,"◕ Bientôt","✓ OK")))</f>
        <v/>
      </c>
    </row>
    <row r="43">
      <c r="A43" s="38">
        <f>IF(B43="","",TEXT(ROW()-3,"000"))</f>
        <v/>
      </c>
      <c r="B43" s="41" t="n"/>
      <c r="C43" s="41" t="n"/>
      <c r="D43" s="41" t="n"/>
      <c r="E43" s="41" t="n"/>
      <c r="F43" s="41" t="n"/>
      <c r="G43" s="41" t="n"/>
      <c r="H43" s="41" t="n"/>
      <c r="I43" s="41" t="n"/>
      <c r="J43" s="42" t="n"/>
      <c r="K43" s="42" t="n"/>
      <c r="L43" s="42" t="n"/>
      <c r="M43" s="43" t="n"/>
      <c r="N43" s="43" t="n"/>
      <c r="O43" s="44" t="n"/>
      <c r="P43" s="40">
        <f>IF(K43="","",TODAY()-K43)</f>
        <v/>
      </c>
      <c r="Q43" s="40">
        <f>IF(L43="","",IF(L43&lt;TODAY(),"⚠ En retard",IF(L43&lt;=TODAY()+7,"◕ Bientôt","✓ OK")))</f>
        <v/>
      </c>
    </row>
    <row r="44">
      <c r="A44" s="38">
        <f>IF(B44="","",TEXT(ROW()-3,"000"))</f>
        <v/>
      </c>
      <c r="B44" s="31" t="n"/>
      <c r="C44" s="31" t="n"/>
      <c r="D44" s="31" t="n"/>
      <c r="E44" s="31" t="n"/>
      <c r="F44" s="31" t="n"/>
      <c r="G44" s="31" t="n"/>
      <c r="H44" s="31" t="n"/>
      <c r="I44" s="31" t="n"/>
      <c r="J44" s="39" t="n"/>
      <c r="K44" s="39" t="n"/>
      <c r="L44" s="39" t="n"/>
      <c r="M44" s="33" t="n"/>
      <c r="N44" s="33" t="n"/>
      <c r="O44" s="32" t="n"/>
      <c r="P44" s="40">
        <f>IF(K44="","",TODAY()-K44)</f>
        <v/>
      </c>
      <c r="Q44" s="40">
        <f>IF(L44="","",IF(L44&lt;TODAY(),"⚠ En retard",IF(L44&lt;=TODAY()+7,"◕ Bientôt","✓ OK")))</f>
        <v/>
      </c>
    </row>
    <row r="45">
      <c r="A45" s="38">
        <f>IF(B45="","",TEXT(ROW()-3,"000"))</f>
        <v/>
      </c>
      <c r="B45" s="41" t="n"/>
      <c r="C45" s="41" t="n"/>
      <c r="D45" s="41" t="n"/>
      <c r="E45" s="41" t="n"/>
      <c r="F45" s="41" t="n"/>
      <c r="G45" s="41" t="n"/>
      <c r="H45" s="41" t="n"/>
      <c r="I45" s="41" t="n"/>
      <c r="J45" s="42" t="n"/>
      <c r="K45" s="42" t="n"/>
      <c r="L45" s="42" t="n"/>
      <c r="M45" s="43" t="n"/>
      <c r="N45" s="43" t="n"/>
      <c r="O45" s="44" t="n"/>
      <c r="P45" s="40">
        <f>IF(K45="","",TODAY()-K45)</f>
        <v/>
      </c>
      <c r="Q45" s="40">
        <f>IF(L45="","",IF(L45&lt;TODAY(),"⚠ En retard",IF(L45&lt;=TODAY()+7,"◕ Bientôt","✓ OK")))</f>
        <v/>
      </c>
    </row>
    <row r="46">
      <c r="A46" s="38">
        <f>IF(B46="","",TEXT(ROW()-3,"000"))</f>
        <v/>
      </c>
      <c r="B46" s="31" t="n"/>
      <c r="C46" s="31" t="n"/>
      <c r="D46" s="31" t="n"/>
      <c r="E46" s="31" t="n"/>
      <c r="F46" s="31" t="n"/>
      <c r="G46" s="31" t="n"/>
      <c r="H46" s="31" t="n"/>
      <c r="I46" s="31" t="n"/>
      <c r="J46" s="39" t="n"/>
      <c r="K46" s="39" t="n"/>
      <c r="L46" s="39" t="n"/>
      <c r="M46" s="33" t="n"/>
      <c r="N46" s="33" t="n"/>
      <c r="O46" s="32" t="n"/>
      <c r="P46" s="40">
        <f>IF(K46="","",TODAY()-K46)</f>
        <v/>
      </c>
      <c r="Q46" s="40">
        <f>IF(L46="","",IF(L46&lt;TODAY(),"⚠ En retard",IF(L46&lt;=TODAY()+7,"◕ Bientôt","✓ OK")))</f>
        <v/>
      </c>
    </row>
    <row r="47">
      <c r="A47" s="38">
        <f>IF(B47="","",TEXT(ROW()-3,"000"))</f>
        <v/>
      </c>
      <c r="B47" s="41" t="n"/>
      <c r="C47" s="41" t="n"/>
      <c r="D47" s="41" t="n"/>
      <c r="E47" s="41" t="n"/>
      <c r="F47" s="41" t="n"/>
      <c r="G47" s="41" t="n"/>
      <c r="H47" s="41" t="n"/>
      <c r="I47" s="41" t="n"/>
      <c r="J47" s="42" t="n"/>
      <c r="K47" s="42" t="n"/>
      <c r="L47" s="42" t="n"/>
      <c r="M47" s="43" t="n"/>
      <c r="N47" s="43" t="n"/>
      <c r="O47" s="44" t="n"/>
      <c r="P47" s="40">
        <f>IF(K47="","",TODAY()-K47)</f>
        <v/>
      </c>
      <c r="Q47" s="40">
        <f>IF(L47="","",IF(L47&lt;TODAY(),"⚠ En retard",IF(L47&lt;=TODAY()+7,"◕ Bientôt","✓ OK")))</f>
        <v/>
      </c>
    </row>
    <row r="48">
      <c r="A48" s="38">
        <f>IF(B48="","",TEXT(ROW()-3,"000"))</f>
        <v/>
      </c>
      <c r="B48" s="31" t="n"/>
      <c r="C48" s="31" t="n"/>
      <c r="D48" s="31" t="n"/>
      <c r="E48" s="31" t="n"/>
      <c r="F48" s="31" t="n"/>
      <c r="G48" s="31" t="n"/>
      <c r="H48" s="31" t="n"/>
      <c r="I48" s="31" t="n"/>
      <c r="J48" s="39" t="n"/>
      <c r="K48" s="39" t="n"/>
      <c r="L48" s="39" t="n"/>
      <c r="M48" s="33" t="n"/>
      <c r="N48" s="33" t="n"/>
      <c r="O48" s="32" t="n"/>
      <c r="P48" s="40">
        <f>IF(K48="","",TODAY()-K48)</f>
        <v/>
      </c>
      <c r="Q48" s="40">
        <f>IF(L48="","",IF(L48&lt;TODAY(),"⚠ En retard",IF(L48&lt;=TODAY()+7,"◕ Bientôt","✓ OK")))</f>
        <v/>
      </c>
    </row>
    <row r="49">
      <c r="A49" s="38">
        <f>IF(B49="","",TEXT(ROW()-3,"000"))</f>
        <v/>
      </c>
      <c r="B49" s="41" t="n"/>
      <c r="C49" s="41" t="n"/>
      <c r="D49" s="41" t="n"/>
      <c r="E49" s="41" t="n"/>
      <c r="F49" s="41" t="n"/>
      <c r="G49" s="41" t="n"/>
      <c r="H49" s="41" t="n"/>
      <c r="I49" s="41" t="n"/>
      <c r="J49" s="42" t="n"/>
      <c r="K49" s="42" t="n"/>
      <c r="L49" s="42" t="n"/>
      <c r="M49" s="43" t="n"/>
      <c r="N49" s="43" t="n"/>
      <c r="O49" s="44" t="n"/>
      <c r="P49" s="40">
        <f>IF(K49="","",TODAY()-K49)</f>
        <v/>
      </c>
      <c r="Q49" s="40">
        <f>IF(L49="","",IF(L49&lt;TODAY(),"⚠ En retard",IF(L49&lt;=TODAY()+7,"◕ Bientôt","✓ OK")))</f>
        <v/>
      </c>
    </row>
    <row r="50">
      <c r="A50" s="38">
        <f>IF(B50="","",TEXT(ROW()-3,"000"))</f>
        <v/>
      </c>
      <c r="B50" s="31" t="n"/>
      <c r="C50" s="31" t="n"/>
      <c r="D50" s="31" t="n"/>
      <c r="E50" s="31" t="n"/>
      <c r="F50" s="31" t="n"/>
      <c r="G50" s="31" t="n"/>
      <c r="H50" s="31" t="n"/>
      <c r="I50" s="31" t="n"/>
      <c r="J50" s="39" t="n"/>
      <c r="K50" s="39" t="n"/>
      <c r="L50" s="39" t="n"/>
      <c r="M50" s="33" t="n"/>
      <c r="N50" s="33" t="n"/>
      <c r="O50" s="32" t="n"/>
      <c r="P50" s="40">
        <f>IF(K50="","",TODAY()-K50)</f>
        <v/>
      </c>
      <c r="Q50" s="40">
        <f>IF(L50="","",IF(L50&lt;TODAY(),"⚠ En retard",IF(L50&lt;=TODAY()+7,"◕ Bientôt","✓ OK")))</f>
        <v/>
      </c>
    </row>
    <row r="51">
      <c r="A51" s="38">
        <f>IF(B51="","",TEXT(ROW()-3,"000"))</f>
        <v/>
      </c>
      <c r="B51" s="41" t="n"/>
      <c r="C51" s="41" t="n"/>
      <c r="D51" s="41" t="n"/>
      <c r="E51" s="41" t="n"/>
      <c r="F51" s="41" t="n"/>
      <c r="G51" s="41" t="n"/>
      <c r="H51" s="41" t="n"/>
      <c r="I51" s="41" t="n"/>
      <c r="J51" s="42" t="n"/>
      <c r="K51" s="42" t="n"/>
      <c r="L51" s="42" t="n"/>
      <c r="M51" s="43" t="n"/>
      <c r="N51" s="43" t="n"/>
      <c r="O51" s="44" t="n"/>
      <c r="P51" s="40">
        <f>IF(K51="","",TODAY()-K51)</f>
        <v/>
      </c>
      <c r="Q51" s="40">
        <f>IF(L51="","",IF(L51&lt;TODAY(),"⚠ En retard",IF(L51&lt;=TODAY()+7,"◕ Bientôt","✓ OK")))</f>
        <v/>
      </c>
    </row>
    <row r="52">
      <c r="A52" s="38">
        <f>IF(B52="","",TEXT(ROW()-3,"000"))</f>
        <v/>
      </c>
      <c r="B52" s="31" t="n"/>
      <c r="C52" s="31" t="n"/>
      <c r="D52" s="31" t="n"/>
      <c r="E52" s="31" t="n"/>
      <c r="F52" s="31" t="n"/>
      <c r="G52" s="31" t="n"/>
      <c r="H52" s="31" t="n"/>
      <c r="I52" s="31" t="n"/>
      <c r="J52" s="39" t="n"/>
      <c r="K52" s="39" t="n"/>
      <c r="L52" s="39" t="n"/>
      <c r="M52" s="33" t="n"/>
      <c r="N52" s="33" t="n"/>
      <c r="O52" s="32" t="n"/>
      <c r="P52" s="40">
        <f>IF(K52="","",TODAY()-K52)</f>
        <v/>
      </c>
      <c r="Q52" s="40">
        <f>IF(L52="","",IF(L52&lt;TODAY(),"⚠ En retard",IF(L52&lt;=TODAY()+7,"◕ Bientôt","✓ OK")))</f>
        <v/>
      </c>
    </row>
    <row r="53">
      <c r="A53" s="38">
        <f>IF(B53="","",TEXT(ROW()-3,"000"))</f>
        <v/>
      </c>
      <c r="B53" s="41" t="n"/>
      <c r="C53" s="41" t="n"/>
      <c r="D53" s="41" t="n"/>
      <c r="E53" s="41" t="n"/>
      <c r="F53" s="41" t="n"/>
      <c r="G53" s="41" t="n"/>
      <c r="H53" s="41" t="n"/>
      <c r="I53" s="41" t="n"/>
      <c r="J53" s="42" t="n"/>
      <c r="K53" s="42" t="n"/>
      <c r="L53" s="42" t="n"/>
      <c r="M53" s="43" t="n"/>
      <c r="N53" s="43" t="n"/>
      <c r="O53" s="44" t="n"/>
      <c r="P53" s="40">
        <f>IF(K53="","",TODAY()-K53)</f>
        <v/>
      </c>
      <c r="Q53" s="40">
        <f>IF(L53="","",IF(L53&lt;TODAY(),"⚠ En retard",IF(L53&lt;=TODAY()+7,"◕ Bientôt","✓ OK")))</f>
        <v/>
      </c>
    </row>
    <row r="54">
      <c r="A54" s="38">
        <f>IF(B54="","",TEXT(ROW()-3,"000"))</f>
        <v/>
      </c>
      <c r="B54" s="31" t="n"/>
      <c r="C54" s="31" t="n"/>
      <c r="D54" s="31" t="n"/>
      <c r="E54" s="31" t="n"/>
      <c r="F54" s="31" t="n"/>
      <c r="G54" s="31" t="n"/>
      <c r="H54" s="31" t="n"/>
      <c r="I54" s="31" t="n"/>
      <c r="J54" s="39" t="n"/>
      <c r="K54" s="39" t="n"/>
      <c r="L54" s="39" t="n"/>
      <c r="M54" s="33" t="n"/>
      <c r="N54" s="33" t="n"/>
      <c r="O54" s="32" t="n"/>
      <c r="P54" s="40">
        <f>IF(K54="","",TODAY()-K54)</f>
        <v/>
      </c>
      <c r="Q54" s="40">
        <f>IF(L54="","",IF(L54&lt;TODAY(),"⚠ En retard",IF(L54&lt;=TODAY()+7,"◕ Bientôt","✓ OK")))</f>
        <v/>
      </c>
    </row>
    <row r="55">
      <c r="A55" s="38">
        <f>IF(B55="","",TEXT(ROW()-3,"000"))</f>
        <v/>
      </c>
      <c r="B55" s="41" t="n"/>
      <c r="C55" s="41" t="n"/>
      <c r="D55" s="41" t="n"/>
      <c r="E55" s="41" t="n"/>
      <c r="F55" s="41" t="n"/>
      <c r="G55" s="41" t="n"/>
      <c r="H55" s="41" t="n"/>
      <c r="I55" s="41" t="n"/>
      <c r="J55" s="42" t="n"/>
      <c r="K55" s="42" t="n"/>
      <c r="L55" s="42" t="n"/>
      <c r="M55" s="43" t="n"/>
      <c r="N55" s="43" t="n"/>
      <c r="O55" s="44" t="n"/>
      <c r="P55" s="40">
        <f>IF(K55="","",TODAY()-K55)</f>
        <v/>
      </c>
      <c r="Q55" s="40">
        <f>IF(L55="","",IF(L55&lt;TODAY(),"⚠ En retard",IF(L55&lt;=TODAY()+7,"◕ Bientôt","✓ OK")))</f>
        <v/>
      </c>
    </row>
    <row r="56">
      <c r="A56" s="38">
        <f>IF(B56="","",TEXT(ROW()-3,"000"))</f>
        <v/>
      </c>
      <c r="B56" s="31" t="n"/>
      <c r="C56" s="31" t="n"/>
      <c r="D56" s="31" t="n"/>
      <c r="E56" s="31" t="n"/>
      <c r="F56" s="31" t="n"/>
      <c r="G56" s="31" t="n"/>
      <c r="H56" s="31" t="n"/>
      <c r="I56" s="31" t="n"/>
      <c r="J56" s="39" t="n"/>
      <c r="K56" s="39" t="n"/>
      <c r="L56" s="39" t="n"/>
      <c r="M56" s="33" t="n"/>
      <c r="N56" s="33" t="n"/>
      <c r="O56" s="32" t="n"/>
      <c r="P56" s="40">
        <f>IF(K56="","",TODAY()-K56)</f>
        <v/>
      </c>
      <c r="Q56" s="40">
        <f>IF(L56="","",IF(L56&lt;TODAY(),"⚠ En retard",IF(L56&lt;=TODAY()+7,"◕ Bientôt","✓ OK")))</f>
        <v/>
      </c>
    </row>
    <row r="57">
      <c r="A57" s="38">
        <f>IF(B57="","",TEXT(ROW()-3,"000"))</f>
        <v/>
      </c>
      <c r="B57" s="41" t="n"/>
      <c r="C57" s="41" t="n"/>
      <c r="D57" s="41" t="n"/>
      <c r="E57" s="41" t="n"/>
      <c r="F57" s="41" t="n"/>
      <c r="G57" s="41" t="n"/>
      <c r="H57" s="41" t="n"/>
      <c r="I57" s="41" t="n"/>
      <c r="J57" s="42" t="n"/>
      <c r="K57" s="42" t="n"/>
      <c r="L57" s="42" t="n"/>
      <c r="M57" s="43" t="n"/>
      <c r="N57" s="43" t="n"/>
      <c r="O57" s="44" t="n"/>
      <c r="P57" s="40">
        <f>IF(K57="","",TODAY()-K57)</f>
        <v/>
      </c>
      <c r="Q57" s="40">
        <f>IF(L57="","",IF(L57&lt;TODAY(),"⚠ En retard",IF(L57&lt;=TODAY()+7,"◕ Bientôt","✓ OK")))</f>
        <v/>
      </c>
    </row>
    <row r="58">
      <c r="A58" s="38">
        <f>IF(B58="","",TEXT(ROW()-3,"000"))</f>
        <v/>
      </c>
      <c r="B58" s="31" t="n"/>
      <c r="C58" s="31" t="n"/>
      <c r="D58" s="31" t="n"/>
      <c r="E58" s="31" t="n"/>
      <c r="F58" s="31" t="n"/>
      <c r="G58" s="31" t="n"/>
      <c r="H58" s="31" t="n"/>
      <c r="I58" s="31" t="n"/>
      <c r="J58" s="39" t="n"/>
      <c r="K58" s="39" t="n"/>
      <c r="L58" s="39" t="n"/>
      <c r="M58" s="33" t="n"/>
      <c r="N58" s="33" t="n"/>
      <c r="O58" s="32" t="n"/>
      <c r="P58" s="40">
        <f>IF(K58="","",TODAY()-K58)</f>
        <v/>
      </c>
      <c r="Q58" s="40">
        <f>IF(L58="","",IF(L58&lt;TODAY(),"⚠ En retard",IF(L58&lt;=TODAY()+7,"◕ Bientôt","✓ OK")))</f>
        <v/>
      </c>
    </row>
    <row r="59">
      <c r="A59" s="38">
        <f>IF(B59="","",TEXT(ROW()-3,"000"))</f>
        <v/>
      </c>
      <c r="B59" s="41" t="n"/>
      <c r="C59" s="41" t="n"/>
      <c r="D59" s="41" t="n"/>
      <c r="E59" s="41" t="n"/>
      <c r="F59" s="41" t="n"/>
      <c r="G59" s="41" t="n"/>
      <c r="H59" s="41" t="n"/>
      <c r="I59" s="41" t="n"/>
      <c r="J59" s="42" t="n"/>
      <c r="K59" s="42" t="n"/>
      <c r="L59" s="42" t="n"/>
      <c r="M59" s="43" t="n"/>
      <c r="N59" s="43" t="n"/>
      <c r="O59" s="44" t="n"/>
      <c r="P59" s="40">
        <f>IF(K59="","",TODAY()-K59)</f>
        <v/>
      </c>
      <c r="Q59" s="40">
        <f>IF(L59="","",IF(L59&lt;TODAY(),"⚠ En retard",IF(L59&lt;=TODAY()+7,"◕ Bientôt","✓ OK")))</f>
        <v/>
      </c>
    </row>
    <row r="60">
      <c r="A60" s="38">
        <f>IF(B60="","",TEXT(ROW()-3,"000"))</f>
        <v/>
      </c>
      <c r="B60" s="31" t="n"/>
      <c r="C60" s="31" t="n"/>
      <c r="D60" s="31" t="n"/>
      <c r="E60" s="31" t="n"/>
      <c r="F60" s="31" t="n"/>
      <c r="G60" s="31" t="n"/>
      <c r="H60" s="31" t="n"/>
      <c r="I60" s="31" t="n"/>
      <c r="J60" s="39" t="n"/>
      <c r="K60" s="39" t="n"/>
      <c r="L60" s="39" t="n"/>
      <c r="M60" s="33" t="n"/>
      <c r="N60" s="33" t="n"/>
      <c r="O60" s="32" t="n"/>
      <c r="P60" s="40">
        <f>IF(K60="","",TODAY()-K60)</f>
        <v/>
      </c>
      <c r="Q60" s="40">
        <f>IF(L60="","",IF(L60&lt;TODAY(),"⚠ En retard",IF(L60&lt;=TODAY()+7,"◕ Bientôt","✓ OK")))</f>
        <v/>
      </c>
    </row>
    <row r="61">
      <c r="A61" s="38">
        <f>IF(B61="","",TEXT(ROW()-3,"000"))</f>
        <v/>
      </c>
      <c r="B61" s="41" t="n"/>
      <c r="C61" s="41" t="n"/>
      <c r="D61" s="41" t="n"/>
      <c r="E61" s="41" t="n"/>
      <c r="F61" s="41" t="n"/>
      <c r="G61" s="41" t="n"/>
      <c r="H61" s="41" t="n"/>
      <c r="I61" s="41" t="n"/>
      <c r="J61" s="42" t="n"/>
      <c r="K61" s="42" t="n"/>
      <c r="L61" s="42" t="n"/>
      <c r="M61" s="43" t="n"/>
      <c r="N61" s="43" t="n"/>
      <c r="O61" s="44" t="n"/>
      <c r="P61" s="40">
        <f>IF(K61="","",TODAY()-K61)</f>
        <v/>
      </c>
      <c r="Q61" s="40">
        <f>IF(L61="","",IF(L61&lt;TODAY(),"⚠ En retard",IF(L61&lt;=TODAY()+7,"◕ Bientôt","✓ OK")))</f>
        <v/>
      </c>
    </row>
    <row r="62">
      <c r="A62" s="38">
        <f>IF(B62="","",TEXT(ROW()-3,"000"))</f>
        <v/>
      </c>
      <c r="B62" s="31" t="n"/>
      <c r="C62" s="31" t="n"/>
      <c r="D62" s="31" t="n"/>
      <c r="E62" s="31" t="n"/>
      <c r="F62" s="31" t="n"/>
      <c r="G62" s="31" t="n"/>
      <c r="H62" s="31" t="n"/>
      <c r="I62" s="31" t="n"/>
      <c r="J62" s="39" t="n"/>
      <c r="K62" s="39" t="n"/>
      <c r="L62" s="39" t="n"/>
      <c r="M62" s="33" t="n"/>
      <c r="N62" s="33" t="n"/>
      <c r="O62" s="32" t="n"/>
      <c r="P62" s="40">
        <f>IF(K62="","",TODAY()-K62)</f>
        <v/>
      </c>
      <c r="Q62" s="40">
        <f>IF(L62="","",IF(L62&lt;TODAY(),"⚠ En retard",IF(L62&lt;=TODAY()+7,"◕ Bientôt","✓ OK")))</f>
        <v/>
      </c>
    </row>
    <row r="63">
      <c r="A63" s="38">
        <f>IF(B63="","",TEXT(ROW()-3,"000"))</f>
        <v/>
      </c>
      <c r="B63" s="41" t="n"/>
      <c r="C63" s="41" t="n"/>
      <c r="D63" s="41" t="n"/>
      <c r="E63" s="41" t="n"/>
      <c r="F63" s="41" t="n"/>
      <c r="G63" s="41" t="n"/>
      <c r="H63" s="41" t="n"/>
      <c r="I63" s="41" t="n"/>
      <c r="J63" s="42" t="n"/>
      <c r="K63" s="42" t="n"/>
      <c r="L63" s="42" t="n"/>
      <c r="M63" s="43" t="n"/>
      <c r="N63" s="43" t="n"/>
      <c r="O63" s="44" t="n"/>
      <c r="P63" s="40">
        <f>IF(K63="","",TODAY()-K63)</f>
        <v/>
      </c>
      <c r="Q63" s="40">
        <f>IF(L63="","",IF(L63&lt;TODAY(),"⚠ En retard",IF(L63&lt;=TODAY()+7,"◕ Bientôt","✓ OK")))</f>
        <v/>
      </c>
    </row>
  </sheetData>
  <mergeCells count="2">
    <mergeCell ref="A2:Q2"/>
    <mergeCell ref="A1:Q1"/>
  </mergeCells>
  <conditionalFormatting sqref="H4:H63">
    <cfRule type="cellIs" priority="1" operator="equal" dxfId="0">
      <formula>"Actif"</formula>
    </cfRule>
    <cfRule type="cellIs" priority="2" operator="equal" dxfId="1">
      <formula>"Perdu"</formula>
    </cfRule>
    <cfRule type="cellIs" priority="3" operator="equal" dxfId="2">
      <formula>"En négociation"</formula>
    </cfRule>
    <cfRule type="cellIs" priority="4" operator="equal" dxfId="3">
      <formula>"Prospect"</formula>
    </cfRule>
    <cfRule type="cellIs" priority="5" operator="equal" dxfId="4">
      <formula>"Inactif"</formula>
    </cfRule>
  </conditionalFormatting>
  <conditionalFormatting sqref="I4:I63">
    <cfRule type="cellIs" priority="6" operator="equal" dxfId="1">
      <formula>"Haute"</formula>
    </cfRule>
    <cfRule type="cellIs" priority="7" operator="equal" dxfId="5">
      <formula>"Moyenne"</formula>
    </cfRule>
  </conditionalFormatting>
  <conditionalFormatting sqref="Q4:Q63">
    <cfRule type="cellIs" priority="8" operator="containsText" dxfId="6">
      <formula>"retard"</formula>
    </cfRule>
    <cfRule type="expression" priority="9" dxfId="7">
      <formula>ISNUMBER(SEARCH("Bient",Q4))</formula>
    </cfRule>
    <cfRule type="expression" priority="10" dxfId="8">
      <formula>ISNUMBER(SEARCH("OK",Q4))</formula>
    </cfRule>
  </conditionalFormatting>
  <conditionalFormatting sqref="O4:O63">
    <cfRule type="colorScale" priority="11">
      <colorScale>
        <cfvo type="num" val="1"/>
        <cfvo type="num" val="3"/>
        <cfvo type="num" val="5"/>
        <color rgb="00F5B7B1"/>
        <color rgb="00FCF3CF"/>
        <color rgb="00ABEBC6"/>
      </colorScale>
    </cfRule>
  </conditionalFormatting>
  <conditionalFormatting sqref="N4:N63">
    <cfRule type="dataBar" priority="12">
      <dataBar>
        <cfvo type="min"/>
        <cfvo type="max"/>
        <color rgb="002E5EAA"/>
      </dataBar>
    </cfRule>
  </conditionalFormatting>
  <dataValidations count="5">
    <dataValidation sqref="F4:F63" showDropDown="0" showInputMessage="0" showErrorMessage="0" allowBlank="1" errorTitle="Valeur non valide" error="Choisissez une valeur dans la liste." prompt="Sélectionnez dans la liste déroulante." type="list">
      <formula1>=lst_Segment</formula1>
    </dataValidation>
    <dataValidation sqref="G4:G63" showDropDown="0" showInputMessage="0" showErrorMessage="0" allowBlank="1" errorTitle="Valeur non valide" error="Choisissez une valeur dans la liste." prompt="Sélectionnez dans la liste déroulante." type="list">
      <formula1>=lst_Commercial</formula1>
    </dataValidation>
    <dataValidation sqref="H4:H63" showDropDown="0" showInputMessage="0" showErrorMessage="0" allowBlank="1" errorTitle="Valeur non valide" error="Choisissez une valeur dans la liste." prompt="Sélectionnez dans la liste déroulante." type="list">
      <formula1>=lst_Statut</formula1>
    </dataValidation>
    <dataValidation sqref="I4:I63" showDropDown="0" showInputMessage="0" showErrorMessage="0" allowBlank="1" errorTitle="Valeur non valide" error="Choisissez une valeur dans la liste." prompt="Sélectionnez dans la liste déroulante." type="list">
      <formula1>=lst_Priorite</formula1>
    </dataValidation>
    <dataValidation sqref="O4:O63" showDropDown="0" showInputMessage="0" showErrorMessage="0" allowBlank="1" errorTitle="Note invalide" error="Note de 1 à 5.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2A900"/>
    <outlinePr summaryBelow="1" summaryRight="1"/>
    <pageSetUpPr/>
  </sheetPr>
  <dimension ref="A1:G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8" customWidth="1" min="3" max="3"/>
    <col width="15" customWidth="1" min="4" max="4"/>
    <col width="42" customWidth="1" min="5" max="5"/>
    <col width="16" customWidth="1" min="6" max="6"/>
    <col width="26" customWidth="1" min="7" max="7"/>
  </cols>
  <sheetData>
    <row r="1" ht="34" customHeight="1">
      <c r="A1" s="45" t="inlineStr">
        <is>
          <t>JOURNAL DES INTERACTIONS &amp; RELANCES</t>
        </is>
      </c>
    </row>
    <row r="3" ht="26" customHeight="1">
      <c r="A3" s="46" t="inlineStr">
        <is>
          <t>Date</t>
        </is>
      </c>
      <c r="B3" s="46" t="inlineStr">
        <is>
          <t>Entreprise</t>
        </is>
      </c>
      <c r="C3" s="46" t="inlineStr">
        <is>
          <t>Commercial</t>
        </is>
      </c>
      <c r="D3" s="46" t="inlineStr">
        <is>
          <t>Canal</t>
        </is>
      </c>
      <c r="E3" s="46" t="inlineStr">
        <is>
          <t>Objet / Note</t>
        </is>
      </c>
      <c r="F3" s="46" t="inlineStr">
        <is>
          <t>Résultat</t>
        </is>
      </c>
      <c r="G3" s="46" t="inlineStr">
        <is>
          <t>Prochaine action</t>
        </is>
      </c>
    </row>
    <row r="4" ht="22" customHeight="1">
      <c r="A4" s="47" t="n">
        <v>46204</v>
      </c>
      <c r="B4" s="48" t="inlineStr">
        <is>
          <t>Groupe Vertige</t>
        </is>
      </c>
      <c r="C4" s="48" t="inlineStr">
        <is>
          <t>Thomas Petit</t>
        </is>
      </c>
      <c r="D4" s="48" t="inlineStr">
        <is>
          <t>Rendez-vous</t>
        </is>
      </c>
      <c r="E4" s="49" t="inlineStr">
        <is>
          <t>Point trimestriel, renouvellement du contrat cadre validé.</t>
        </is>
      </c>
      <c r="F4" s="48" t="inlineStr">
        <is>
          <t>Signé</t>
        </is>
      </c>
      <c r="G4" s="48" t="inlineStr">
        <is>
          <t>Envoyer bon de commande</t>
        </is>
      </c>
    </row>
    <row r="5" ht="22" customHeight="1">
      <c r="A5" s="50" t="n">
        <v>46203</v>
      </c>
      <c r="B5" s="51" t="inlineStr">
        <is>
          <t>Maison Lauren</t>
        </is>
      </c>
      <c r="C5" s="51" t="inlineStr">
        <is>
          <t>Léa Dubois</t>
        </is>
      </c>
      <c r="D5" s="51" t="inlineStr">
        <is>
          <t>Visio</t>
        </is>
      </c>
      <c r="E5" s="52" t="inlineStr">
        <is>
          <t>Démonstration produit, très intéressée par l'offre Premium.</t>
        </is>
      </c>
      <c r="F5" s="51" t="inlineStr">
        <is>
          <t>Devis envoyé</t>
        </is>
      </c>
      <c r="G5" s="51" t="inlineStr">
        <is>
          <t>Relancer le 08/07</t>
        </is>
      </c>
    </row>
    <row r="6" ht="22" customHeight="1">
      <c r="A6" s="47" t="n">
        <v>46202</v>
      </c>
      <c r="B6" s="48" t="inlineStr">
        <is>
          <t>Lumen Santé</t>
        </is>
      </c>
      <c r="C6" s="48" t="inlineStr">
        <is>
          <t>Léa Dubois</t>
        </is>
      </c>
      <c r="D6" s="48" t="inlineStr">
        <is>
          <t>Email</t>
        </is>
      </c>
      <c r="E6" s="49" t="inlineStr">
        <is>
          <t>Confirmation de la reconduction annuelle.</t>
        </is>
      </c>
      <c r="F6" s="48" t="inlineStr">
        <is>
          <t>Signé</t>
        </is>
      </c>
      <c r="G6" s="48" t="inlineStr">
        <is>
          <t>Planifier onboarding</t>
        </is>
      </c>
    </row>
    <row r="7" ht="22" customHeight="1">
      <c r="A7" s="50" t="n">
        <v>46201</v>
      </c>
      <c r="B7" s="51" t="inlineStr">
        <is>
          <t>Nexora SAS</t>
        </is>
      </c>
      <c r="C7" s="51" t="inlineStr">
        <is>
          <t>Sophie Martin</t>
        </is>
      </c>
      <c r="D7" s="51" t="inlineStr">
        <is>
          <t>Téléphone</t>
        </is>
      </c>
      <c r="E7" s="52" t="inlineStr">
        <is>
          <t>Discussion extension de licence +15 postes.</t>
        </is>
      </c>
      <c r="F7" s="51" t="inlineStr">
        <is>
          <t>À rappeler</t>
        </is>
      </c>
      <c r="G7" s="51" t="inlineStr">
        <is>
          <t>Rappeler le 10/07</t>
        </is>
      </c>
    </row>
    <row r="8" ht="22" customHeight="1">
      <c r="A8" s="47" t="n">
        <v>46199</v>
      </c>
      <c r="B8" s="48" t="inlineStr">
        <is>
          <t>Cirrus Analytics</t>
        </is>
      </c>
      <c r="C8" s="48" t="inlineStr">
        <is>
          <t>Thomas Petit</t>
        </is>
      </c>
      <c r="D8" s="48" t="inlineStr">
        <is>
          <t>LinkedIn</t>
        </is>
      </c>
      <c r="E8" s="49" t="inlineStr">
        <is>
          <t>Premier contact, prise de rendez-vous pour démo.</t>
        </is>
      </c>
      <c r="F8" s="48" t="inlineStr">
        <is>
          <t>À rappeler</t>
        </is>
      </c>
      <c r="G8" s="48" t="inlineStr">
        <is>
          <t>Fixer une démo</t>
        </is>
      </c>
    </row>
    <row r="9" ht="22" customHeight="1">
      <c r="A9" s="50" t="n">
        <v>46195</v>
      </c>
      <c r="B9" s="51" t="inlineStr">
        <is>
          <t>Pixel Forge</t>
        </is>
      </c>
      <c r="C9" s="51" t="inlineStr">
        <is>
          <t>Thomas Petit</t>
        </is>
      </c>
      <c r="D9" s="51" t="inlineStr">
        <is>
          <t>Email</t>
        </is>
      </c>
      <c r="E9" s="52" t="inlineStr">
        <is>
          <t>Envoi plaquette commerciale.</t>
        </is>
      </c>
      <c r="F9" s="51" t="inlineStr">
        <is>
          <t>À rappeler</t>
        </is>
      </c>
      <c r="G9" s="51" t="inlineStr">
        <is>
          <t>Appeler le 04/07</t>
        </is>
      </c>
    </row>
    <row r="10" ht="22" customHeight="1">
      <c r="A10" s="47" t="n">
        <v>46193</v>
      </c>
      <c r="B10" s="48" t="inlineStr">
        <is>
          <t>Solaris Tech</t>
        </is>
      </c>
      <c r="C10" s="48" t="inlineStr">
        <is>
          <t>Karim Benali</t>
        </is>
      </c>
      <c r="D10" s="48" t="inlineStr">
        <is>
          <t>Téléphone</t>
        </is>
      </c>
      <c r="E10" s="49" t="inlineStr">
        <is>
          <t>Suivi satisfaction, remontée d'un besoin de formation.</t>
        </is>
      </c>
      <c r="F10" s="48" t="inlineStr">
        <is>
          <t>À rappeler</t>
        </is>
      </c>
      <c r="G10" s="48" t="inlineStr">
        <is>
          <t>Proposer session</t>
        </is>
      </c>
    </row>
    <row r="11" ht="22" customHeight="1">
      <c r="A11" s="50" t="n">
        <v>46188</v>
      </c>
      <c r="B11" s="51" t="inlineStr">
        <is>
          <t>Belmont Industries</t>
        </is>
      </c>
      <c r="C11" s="51" t="inlineStr">
        <is>
          <t>Karim Benali</t>
        </is>
      </c>
      <c r="D11" s="51" t="inlineStr">
        <is>
          <t>Rendez-vous</t>
        </is>
      </c>
      <c r="E11" s="52" t="inlineStr">
        <is>
          <t>Négociation tarifaire en cours, dernière ligne droite.</t>
        </is>
      </c>
      <c r="F11" s="51" t="inlineStr">
        <is>
          <t>Devis envoyé</t>
        </is>
      </c>
      <c r="G11" s="51" t="inlineStr">
        <is>
          <t>Relancer le 06/07</t>
        </is>
      </c>
    </row>
    <row r="12" ht="22" customHeight="1">
      <c r="A12" s="47" t="n">
        <v>46175</v>
      </c>
      <c r="B12" s="48" t="inlineStr">
        <is>
          <t>Studio Kaleido</t>
        </is>
      </c>
      <c r="C12" s="48" t="inlineStr">
        <is>
          <t>Léa Dubois</t>
        </is>
      </c>
      <c r="D12" s="48" t="inlineStr">
        <is>
          <t>Email</t>
        </is>
      </c>
      <c r="E12" s="49" t="inlineStr">
        <is>
          <t>Demande d'informations tarifaires.</t>
        </is>
      </c>
      <c r="F12" s="48" t="inlineStr">
        <is>
          <t>Devis envoyé</t>
        </is>
      </c>
      <c r="G12" s="48" t="inlineStr">
        <is>
          <t>Relancer le 02/07</t>
        </is>
      </c>
    </row>
    <row r="13" ht="22" customHeight="1">
      <c r="A13" s="50" t="n">
        <v>46063</v>
      </c>
      <c r="B13" s="51" t="inlineStr">
        <is>
          <t>Atelier Doré</t>
        </is>
      </c>
      <c r="C13" s="51" t="inlineStr">
        <is>
          <t>Sophie Martin</t>
        </is>
      </c>
      <c r="D13" s="51" t="inlineStr">
        <is>
          <t>Téléphone</t>
        </is>
      </c>
      <c r="E13" s="52" t="inlineStr">
        <is>
          <t>Client peu réactif, à requalifier.</t>
        </is>
      </c>
      <c r="F13" s="51" t="inlineStr">
        <is>
          <t>Injoignable</t>
        </is>
      </c>
      <c r="G13" s="51" t="inlineStr">
        <is>
          <t>Dernière relance</t>
        </is>
      </c>
    </row>
    <row r="14" ht="22" customHeight="1">
      <c r="A14" s="47" t="n"/>
      <c r="B14" s="48" t="n"/>
      <c r="C14" s="48" t="n"/>
      <c r="D14" s="48" t="n"/>
      <c r="E14" s="49" t="n"/>
      <c r="F14" s="48" t="n"/>
      <c r="G14" s="48" t="n"/>
    </row>
    <row r="15" ht="22" customHeight="1">
      <c r="A15" s="50" t="n"/>
      <c r="B15" s="51" t="n"/>
      <c r="C15" s="51" t="n"/>
      <c r="D15" s="51" t="n"/>
      <c r="E15" s="52" t="n"/>
      <c r="F15" s="51" t="n"/>
      <c r="G15" s="51" t="n"/>
    </row>
    <row r="16" ht="22" customHeight="1">
      <c r="A16" s="47" t="n"/>
      <c r="B16" s="48" t="n"/>
      <c r="C16" s="48" t="n"/>
      <c r="D16" s="48" t="n"/>
      <c r="E16" s="49" t="n"/>
      <c r="F16" s="48" t="n"/>
      <c r="G16" s="48" t="n"/>
    </row>
    <row r="17" ht="22" customHeight="1">
      <c r="A17" s="50" t="n"/>
      <c r="B17" s="51" t="n"/>
      <c r="C17" s="51" t="n"/>
      <c r="D17" s="51" t="n"/>
      <c r="E17" s="52" t="n"/>
      <c r="F17" s="51" t="n"/>
      <c r="G17" s="51" t="n"/>
    </row>
    <row r="18" ht="22" customHeight="1">
      <c r="A18" s="47" t="n"/>
      <c r="B18" s="48" t="n"/>
      <c r="C18" s="48" t="n"/>
      <c r="D18" s="48" t="n"/>
      <c r="E18" s="49" t="n"/>
      <c r="F18" s="48" t="n"/>
      <c r="G18" s="48" t="n"/>
    </row>
    <row r="19" ht="22" customHeight="1">
      <c r="A19" s="50" t="n"/>
      <c r="B19" s="51" t="n"/>
      <c r="C19" s="51" t="n"/>
      <c r="D19" s="51" t="n"/>
      <c r="E19" s="52" t="n"/>
      <c r="F19" s="51" t="n"/>
      <c r="G19" s="51" t="n"/>
    </row>
    <row r="20" ht="22" customHeight="1">
      <c r="A20" s="47" t="n"/>
      <c r="B20" s="48" t="n"/>
      <c r="C20" s="48" t="n"/>
      <c r="D20" s="48" t="n"/>
      <c r="E20" s="49" t="n"/>
      <c r="F20" s="48" t="n"/>
      <c r="G20" s="48" t="n"/>
    </row>
    <row r="21" ht="22" customHeight="1">
      <c r="A21" s="50" t="n"/>
      <c r="B21" s="51" t="n"/>
      <c r="C21" s="51" t="n"/>
      <c r="D21" s="51" t="n"/>
      <c r="E21" s="52" t="n"/>
      <c r="F21" s="51" t="n"/>
      <c r="G21" s="51" t="n"/>
    </row>
    <row r="22" ht="22" customHeight="1">
      <c r="A22" s="47" t="n"/>
      <c r="B22" s="48" t="n"/>
      <c r="C22" s="48" t="n"/>
      <c r="D22" s="48" t="n"/>
      <c r="E22" s="49" t="n"/>
      <c r="F22" s="48" t="n"/>
      <c r="G22" s="48" t="n"/>
    </row>
    <row r="23" ht="22" customHeight="1">
      <c r="A23" s="50" t="n"/>
      <c r="B23" s="51" t="n"/>
      <c r="C23" s="51" t="n"/>
      <c r="D23" s="51" t="n"/>
      <c r="E23" s="52" t="n"/>
      <c r="F23" s="51" t="n"/>
      <c r="G23" s="51" t="n"/>
    </row>
    <row r="24" ht="22" customHeight="1">
      <c r="A24" s="47" t="n"/>
      <c r="B24" s="48" t="n"/>
      <c r="C24" s="48" t="n"/>
      <c r="D24" s="48" t="n"/>
      <c r="E24" s="49" t="n"/>
      <c r="F24" s="48" t="n"/>
      <c r="G24" s="48" t="n"/>
    </row>
    <row r="25" ht="22" customHeight="1">
      <c r="A25" s="50" t="n"/>
      <c r="B25" s="51" t="n"/>
      <c r="C25" s="51" t="n"/>
      <c r="D25" s="51" t="n"/>
      <c r="E25" s="52" t="n"/>
      <c r="F25" s="51" t="n"/>
      <c r="G25" s="51" t="n"/>
    </row>
    <row r="26" ht="22" customHeight="1">
      <c r="A26" s="47" t="n"/>
      <c r="B26" s="48" t="n"/>
      <c r="C26" s="48" t="n"/>
      <c r="D26" s="48" t="n"/>
      <c r="E26" s="49" t="n"/>
      <c r="F26" s="48" t="n"/>
      <c r="G26" s="48" t="n"/>
    </row>
    <row r="27" ht="22" customHeight="1">
      <c r="A27" s="50" t="n"/>
      <c r="B27" s="51" t="n"/>
      <c r="C27" s="51" t="n"/>
      <c r="D27" s="51" t="n"/>
      <c r="E27" s="52" t="n"/>
      <c r="F27" s="51" t="n"/>
      <c r="G27" s="51" t="n"/>
    </row>
    <row r="28" ht="22" customHeight="1">
      <c r="A28" s="47" t="n"/>
      <c r="B28" s="48" t="n"/>
      <c r="C28" s="48" t="n"/>
      <c r="D28" s="48" t="n"/>
      <c r="E28" s="49" t="n"/>
      <c r="F28" s="48" t="n"/>
      <c r="G28" s="48" t="n"/>
    </row>
    <row r="29" ht="22" customHeight="1">
      <c r="A29" s="50" t="n"/>
      <c r="B29" s="51" t="n"/>
      <c r="C29" s="51" t="n"/>
      <c r="D29" s="51" t="n"/>
      <c r="E29" s="52" t="n"/>
      <c r="F29" s="51" t="n"/>
      <c r="G29" s="51" t="n"/>
    </row>
    <row r="30" ht="22" customHeight="1">
      <c r="A30" s="47" t="n"/>
      <c r="B30" s="48" t="n"/>
      <c r="C30" s="48" t="n"/>
      <c r="D30" s="48" t="n"/>
      <c r="E30" s="49" t="n"/>
      <c r="F30" s="48" t="n"/>
      <c r="G30" s="48" t="n"/>
    </row>
    <row r="31" ht="22" customHeight="1">
      <c r="A31" s="50" t="n"/>
      <c r="B31" s="51" t="n"/>
      <c r="C31" s="51" t="n"/>
      <c r="D31" s="51" t="n"/>
      <c r="E31" s="52" t="n"/>
      <c r="F31" s="51" t="n"/>
      <c r="G31" s="51" t="n"/>
    </row>
    <row r="32" ht="22" customHeight="1">
      <c r="A32" s="47" t="n"/>
      <c r="B32" s="48" t="n"/>
      <c r="C32" s="48" t="n"/>
      <c r="D32" s="48" t="n"/>
      <c r="E32" s="49" t="n"/>
      <c r="F32" s="48" t="n"/>
      <c r="G32" s="48" t="n"/>
    </row>
    <row r="33" ht="22" customHeight="1">
      <c r="A33" s="50" t="n"/>
      <c r="B33" s="51" t="n"/>
      <c r="C33" s="51" t="n"/>
      <c r="D33" s="51" t="n"/>
      <c r="E33" s="52" t="n"/>
      <c r="F33" s="51" t="n"/>
      <c r="G33" s="51" t="n"/>
    </row>
    <row r="34" ht="22" customHeight="1">
      <c r="A34" s="47" t="n"/>
      <c r="B34" s="48" t="n"/>
      <c r="C34" s="48" t="n"/>
      <c r="D34" s="48" t="n"/>
      <c r="E34" s="49" t="n"/>
      <c r="F34" s="48" t="n"/>
      <c r="G34" s="48" t="n"/>
    </row>
    <row r="35" ht="22" customHeight="1">
      <c r="A35" s="50" t="n"/>
      <c r="B35" s="51" t="n"/>
      <c r="C35" s="51" t="n"/>
      <c r="D35" s="51" t="n"/>
      <c r="E35" s="52" t="n"/>
      <c r="F35" s="51" t="n"/>
      <c r="G35" s="51" t="n"/>
    </row>
    <row r="36" ht="22" customHeight="1">
      <c r="A36" s="47" t="n"/>
      <c r="B36" s="48" t="n"/>
      <c r="C36" s="48" t="n"/>
      <c r="D36" s="48" t="n"/>
      <c r="E36" s="49" t="n"/>
      <c r="F36" s="48" t="n"/>
      <c r="G36" s="48" t="n"/>
    </row>
    <row r="37" ht="22" customHeight="1">
      <c r="A37" s="50" t="n"/>
      <c r="B37" s="51" t="n"/>
      <c r="C37" s="51" t="n"/>
      <c r="D37" s="51" t="n"/>
      <c r="E37" s="52" t="n"/>
      <c r="F37" s="51" t="n"/>
      <c r="G37" s="51" t="n"/>
    </row>
    <row r="38" ht="22" customHeight="1">
      <c r="A38" s="47" t="n"/>
      <c r="B38" s="48" t="n"/>
      <c r="C38" s="48" t="n"/>
      <c r="D38" s="48" t="n"/>
      <c r="E38" s="49" t="n"/>
      <c r="F38" s="48" t="n"/>
      <c r="G38" s="48" t="n"/>
    </row>
    <row r="39" ht="22" customHeight="1">
      <c r="A39" s="50" t="n"/>
      <c r="B39" s="51" t="n"/>
      <c r="C39" s="51" t="n"/>
      <c r="D39" s="51" t="n"/>
      <c r="E39" s="52" t="n"/>
      <c r="F39" s="51" t="n"/>
      <c r="G39" s="51" t="n"/>
    </row>
    <row r="40" ht="22" customHeight="1">
      <c r="A40" s="47" t="n"/>
      <c r="B40" s="48" t="n"/>
      <c r="C40" s="48" t="n"/>
      <c r="D40" s="48" t="n"/>
      <c r="E40" s="49" t="n"/>
      <c r="F40" s="48" t="n"/>
      <c r="G40" s="48" t="n"/>
    </row>
    <row r="41" ht="22" customHeight="1">
      <c r="A41" s="50" t="n"/>
      <c r="B41" s="51" t="n"/>
      <c r="C41" s="51" t="n"/>
      <c r="D41" s="51" t="n"/>
      <c r="E41" s="52" t="n"/>
      <c r="F41" s="51" t="n"/>
      <c r="G41" s="51" t="n"/>
    </row>
    <row r="42" ht="22" customHeight="1">
      <c r="A42" s="47" t="n"/>
      <c r="B42" s="48" t="n"/>
      <c r="C42" s="48" t="n"/>
      <c r="D42" s="48" t="n"/>
      <c r="E42" s="49" t="n"/>
      <c r="F42" s="48" t="n"/>
      <c r="G42" s="48" t="n"/>
    </row>
    <row r="43" ht="22" customHeight="1">
      <c r="A43" s="50" t="n"/>
      <c r="B43" s="51" t="n"/>
      <c r="C43" s="51" t="n"/>
      <c r="D43" s="51" t="n"/>
      <c r="E43" s="52" t="n"/>
      <c r="F43" s="51" t="n"/>
      <c r="G43" s="51" t="n"/>
    </row>
  </sheetData>
  <mergeCells count="1">
    <mergeCell ref="A1:G1"/>
  </mergeCells>
  <conditionalFormatting sqref="F4:F43">
    <cfRule type="cellIs" priority="1" operator="equal" dxfId="0">
      <formula>"Signé"</formula>
    </cfRule>
    <cfRule type="cellIs" priority="2" operator="equal" dxfId="9">
      <formula>"Sans suite"</formula>
    </cfRule>
    <cfRule type="cellIs" priority="3" operator="equal" dxfId="10">
      <formula>"Devis envoyé"</formula>
    </cfRule>
    <cfRule type="cellIs" priority="4" operator="equal" dxfId="11">
      <formula>"À rappeler"</formula>
    </cfRule>
  </conditionalFormatting>
  <dataValidations count="3">
    <dataValidation sqref="C4:C43" showDropDown="0" showInputMessage="0" showErrorMessage="0" allowBlank="1" type="list">
      <formula1>=lst_Commercial</formula1>
    </dataValidation>
    <dataValidation sqref="D4:D43" showDropDown="0" showInputMessage="0" showErrorMessage="0" allowBlank="1" type="list">
      <formula1>=lst_Canal</formula1>
    </dataValidation>
    <dataValidation sqref="F4:F43" showDropDown="0" showInputMessage="0" showErrorMessage="0" allowBlank="1" type="list">
      <formula1>=lst_Resultat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Listes de référence</t>
        </is>
      </c>
    </row>
    <row r="3">
      <c r="A3" s="30" t="inlineStr">
        <is>
          <t>Statut</t>
        </is>
      </c>
      <c r="B3" s="30" t="inlineStr">
        <is>
          <t>Segment</t>
        </is>
      </c>
      <c r="C3" s="30" t="inlineStr">
        <is>
          <t>Priorité</t>
        </is>
      </c>
      <c r="D3" s="30" t="inlineStr">
        <is>
          <t>Commercial</t>
        </is>
      </c>
      <c r="E3" s="30" t="inlineStr">
        <is>
          <t>Canal</t>
        </is>
      </c>
      <c r="F3" s="30" t="inlineStr">
        <is>
          <t>Résultat contact</t>
        </is>
      </c>
    </row>
    <row r="4">
      <c r="A4" s="31" t="inlineStr">
        <is>
          <t>Prospect</t>
        </is>
      </c>
      <c r="B4" s="31" t="inlineStr">
        <is>
          <t>Grand Compte</t>
        </is>
      </c>
      <c r="C4" s="31" t="inlineStr">
        <is>
          <t>Haute</t>
        </is>
      </c>
      <c r="D4" s="31" t="inlineStr">
        <is>
          <t>Sophie Martin</t>
        </is>
      </c>
      <c r="E4" s="31" t="inlineStr">
        <is>
          <t>Email</t>
        </is>
      </c>
      <c r="F4" s="31" t="inlineStr">
        <is>
          <t>À rappeler</t>
        </is>
      </c>
    </row>
    <row r="5">
      <c r="A5" s="31" t="inlineStr">
        <is>
          <t>Actif</t>
        </is>
      </c>
      <c r="B5" s="31" t="inlineStr">
        <is>
          <t>PME</t>
        </is>
      </c>
      <c r="C5" s="31" t="inlineStr">
        <is>
          <t>Moyenne</t>
        </is>
      </c>
      <c r="D5" s="31" t="inlineStr">
        <is>
          <t>Karim Benali</t>
        </is>
      </c>
      <c r="E5" s="31" t="inlineStr">
        <is>
          <t>Téléphone</t>
        </is>
      </c>
      <c r="F5" s="31" t="inlineStr">
        <is>
          <t>Devis envoyé</t>
        </is>
      </c>
    </row>
    <row r="6">
      <c r="A6" s="31" t="inlineStr">
        <is>
          <t>En négociation</t>
        </is>
      </c>
      <c r="B6" s="31" t="inlineStr">
        <is>
          <t>TPE</t>
        </is>
      </c>
      <c r="C6" s="31" t="inlineStr">
        <is>
          <t>Basse</t>
        </is>
      </c>
      <c r="D6" s="31" t="inlineStr">
        <is>
          <t>Léa Dubois</t>
        </is>
      </c>
      <c r="E6" s="31" t="inlineStr">
        <is>
          <t>Visio</t>
        </is>
      </c>
      <c r="F6" s="31" t="inlineStr">
        <is>
          <t>Signé</t>
        </is>
      </c>
    </row>
    <row r="7">
      <c r="A7" s="31" t="inlineStr">
        <is>
          <t>Inactif</t>
        </is>
      </c>
      <c r="B7" s="31" t="inlineStr">
        <is>
          <t>Particulier</t>
        </is>
      </c>
      <c r="D7" s="31" t="inlineStr">
        <is>
          <t>Thomas Petit</t>
        </is>
      </c>
      <c r="E7" s="31" t="inlineStr">
        <is>
          <t>Rendez-vous</t>
        </is>
      </c>
      <c r="F7" s="31" t="inlineStr">
        <is>
          <t>Sans suite</t>
        </is>
      </c>
    </row>
    <row r="8">
      <c r="A8" s="31" t="inlineStr">
        <is>
          <t>Perdu</t>
        </is>
      </c>
      <c r="E8" s="31" t="inlineStr">
        <is>
          <t>LinkedIn</t>
        </is>
      </c>
      <c r="F8" s="31" t="inlineStr">
        <is>
          <t>Injoignable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2026-07-08T05:43:11Z</dcterms:created>
  <dcterms:modified xsi:type="dcterms:W3CDTF">2026-07-08T05:43:12Z</dcterms:modified>
</cp:coreProperties>
</file>